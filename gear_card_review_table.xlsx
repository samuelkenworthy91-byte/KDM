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dbb24d84444928" /></Relationships>
</file>

<file path=xl/workbook.xml><?xml version="1.0" encoding="utf-8"?>
<x:workbook xmlns:x="http://schemas.openxmlformats.org/spreadsheetml/2006/main">
  <x:sheets>
    <x:sheet xmlns:r="http://schemas.openxmlformats.org/officeDocument/2006/relationships" name="Audit Summary" sheetId="1" r:id="R8b38f2bcb8ef4a73"/>
    <x:sheet xmlns:r="http://schemas.openxmlformats.org/officeDocument/2006/relationships" name="Cards Review" sheetId="2" r:id="R85e9bc5d0a49431f"/>
    <x:sheet xmlns:r="http://schemas.openxmlformats.org/officeDocument/2006/relationships" name="Duplicate Corrections" sheetId="3" r:id="R525d1c3441fc4278"/>
    <x:sheet xmlns:r="http://schemas.openxmlformats.org/officeDocument/2006/relationships" name="Equipment Packages" sheetId="4" r:id="R2593510cbbab4ee8"/>
    <x:sheet xmlns:r="http://schemas.openxmlformats.org/officeDocument/2006/relationships" name="Counter Cards" sheetId="5" r:id="R951da9a9e117494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7">
    <x:fill>
      <x:patternFill patternType="none"/>
    </x:fill>
    <x:fill>
      <x:patternFill patternType="gray125"/>
    </x:fill>
    <x:fill>
      <x:patternFill patternType="solid">
        <x:fgColor rgb="FF3F2A56"/>
      </x:patternFill>
    </x:fill>
    <x:fill>
      <x:patternFill patternType="solid">
        <x:fgColor rgb="FFEFE7D2"/>
      </x:patternFill>
    </x:fill>
    <x:fill>
      <x:patternFill patternType="solid">
        <x:fgColor rgb="FF7C2D12"/>
      </x:patternFill>
    </x:fill>
    <x:fill>
      <x:patternFill patternType="solid">
        <x:fgColor rgb="FF365314"/>
      </x:patternFill>
    </x:fill>
    <x:fill>
      <x:patternFill patternType="solid">
        <x:fgColor rgb="FF1E3A8A"/>
      </x:patternFill>
    </x:fill>
  </x:fills>
  <x:borders count="14">
    <x:border/>
    <x:border/>
    <x:border>
      <x:right/>
      <x:bottom/>
    </x:border>
    <x:border>
      <x:left/>
      <x:bottom/>
    </x:border>
    <x:border>
      <x:right/>
      <x:top/>
      <x:bottom/>
    </x:border>
    <x:border>
      <x:left/>
      <x:top/>
      <x:bottom/>
    </x:border>
    <x:border>
      <x:right/>
      <x:top/>
    </x:border>
    <x:border>
      <x:left/>
      <x:top/>
    </x:border>
    <x:border>
      <x:right/>
      <x:bottom/>
    </x:border>
    <x:border>
      <x:left/>
      <x:bottom/>
    </x:border>
    <x:border>
      <x:right/>
      <x:top/>
      <x:bottom/>
    </x:border>
    <x:border>
      <x:left/>
      <x:top/>
      <x:bottom/>
    </x:border>
    <x:border>
      <x:right/>
      <x:top/>
    </x:border>
    <x:border>
      <x:left/>
      <x:top/>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2" xfId="0" applyNumberFormat="1" applyFont="1" applyFill="1" applyBorder="1" applyAlignment="1">
      <x:alignment horizontal="center"/>
    </x:xf>
    <x:xf numFmtId="0" fontId="1" fillId="2" borderId="3" xfId="0" applyNumberFormat="1" applyFont="1" applyFill="1" applyBorder="1" applyAlignment="1">
      <x:alignment horizontal="center"/>
    </x:xf>
    <x:xf numFmtId="0" fontId="2" fillId="3" borderId="4" xfId="0" applyNumberFormat="1" applyFont="1" applyFill="1" applyBorder="1"/>
    <x:xf numFmtId="0" fontId="0" fillId="0" borderId="5" xfId="0" applyNumberFormat="1" applyFont="1" applyFill="1" applyBorder="1" applyAlignment="1">
      <x:alignment wrapText="1"/>
    </x:xf>
    <x:xf numFmtId="0" fontId="2" fillId="3" borderId="6" xfId="0" applyNumberFormat="1" applyFont="1" applyFill="1" applyBorder="1"/>
    <x:xf numFmtId="0" fontId="0" fillId="0" borderId="7" xfId="0" applyNumberFormat="1" applyFont="1" applyFill="1" applyBorder="1" applyAlignment="1">
      <x:alignment wrapText="1"/>
    </x:xf>
    <x:xf numFmtId="0" fontId="1" fillId="2" borderId="8" xfId="0" applyNumberFormat="1" applyFont="1" applyFill="1" applyBorder="1" applyAlignment="1">
      <x:alignment horizontal="center"/>
    </x:xf>
    <x:xf numFmtId="0" fontId="1" fillId="2" borderId="9" xfId="0" applyNumberFormat="1" applyFont="1" applyFill="1" applyBorder="1" applyAlignment="1">
      <x:alignment horizontal="center"/>
    </x:xf>
    <x:xf numFmtId="0" fontId="2" fillId="3" borderId="10" xfId="0" applyNumberFormat="1" applyFont="1" applyFill="1" applyBorder="1"/>
    <x:xf numFmtId="0" fontId="0" fillId="0" borderId="11" xfId="0" applyNumberFormat="1" applyFont="1" applyFill="1" applyBorder="1" applyAlignment="1">
      <x:alignment wrapText="1"/>
    </x:xf>
    <x:xf numFmtId="0" fontId="2" fillId="3" borderId="12" xfId="0" applyNumberFormat="1" applyFont="1" applyFill="1" applyBorder="1"/>
    <x:xf numFmtId="0" fontId="0" fillId="0" borderId="13"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cellXfs>
  <x:cellStyles count="1">
    <x:cellStyle name="Normal" xfId="0"/>
  </x:cellStyles>
  <x:dxfs count="3">
    <x:dxf>
      <x:font>
        <x:b/>
        <x:color rgb="FF7F1D1D"/>
      </x:font>
      <x:fill>
        <x:patternFill patternType="solid">
          <x:bgColor rgb="FFFECACA"/>
        </x:patternFill>
      </x:fill>
    </x:dxf>
    <x:dxf>
      <x:font>
        <x:b/>
        <x:color rgb="FF7F1D1D"/>
      </x:font>
      <x:fill>
        <x:patternFill patternType="solid">
          <x:bgColor rgb="FFFECACA"/>
        </x:patternFill>
      </x:fill>
    </x:dxf>
    <x:dxf>
      <x:font>
        <x:b/>
        <x:color rgb="FF7F1D1D"/>
      </x:font>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174295e2c54b09" /><Relationship Type="http://schemas.openxmlformats.org/officeDocument/2006/relationships/theme" Target="/xl/theme/theme1.xml" Id="R7cae406f622542ca" /><Relationship Type="http://schemas.openxmlformats.org/officeDocument/2006/relationships/sharedStrings" Target="/xl/sharedStrings.xml" Id="Ra0cd3bbd5bed4818" /><Relationship Type="http://schemas.openxmlformats.org/officeDocument/2006/relationships/worksheet" Target="/xl/worksheets/sheet1.xml" Id="R8b38f2bcb8ef4a73" /><Relationship Type="http://schemas.openxmlformats.org/officeDocument/2006/relationships/worksheet" Target="/xl/worksheets/sheet2.xml" Id="R85e9bc5d0a49431f" /><Relationship Type="http://schemas.openxmlformats.org/officeDocument/2006/relationships/worksheet" Target="/xl/worksheets/sheet3.xml" Id="R525d1c3441fc4278" /><Relationship Type="http://schemas.openxmlformats.org/officeDocument/2006/relationships/worksheet" Target="/xl/worksheets/sheet4.xml" Id="R2593510cbbab4ee8" /><Relationship Type="http://schemas.openxmlformats.org/officeDocument/2006/relationships/worksheet" Target="/xl/worksheets/sheet5.xml" Id="R951da9a9e1174944" /></Relationships>
</file>

<file path=xl/tables/table1.xml><?xml version="1.0" encoding="utf-8"?>
<x:table xmlns:x="http://schemas.openxmlformats.org/spreadsheetml/2006/main" id="1" name="CardsReviewTable" displayName="CardsReviewTable" ref="A1:U757" headerRowCount="1">
  <x:tableColumns count="21">
    <x:tableColumn id="1" name="Equipment"/>
    <x:tableColumn id="2" name="Original KDM Name"/>
    <x:tableColumn id="3" name="Slot"/>
    <x:tableColumn id="4" name="Weapon/Item Type"/>
    <x:tableColumn id="5" name="Tier"/>
    <x:tableColumn id="6" name="Rarity"/>
    <x:tableColumn id="7" name="Card Name"/>
    <x:tableColumn id="8" name="Cost"/>
    <x:tableColumn id="9" name="Card Type"/>
    <x:tableColumn id="10" name="Damage"/>
    <x:tableColumn id="11" name="Break"/>
    <x:tableColumn id="12" name="Block/Prevent"/>
    <x:tableColumn id="13" name="Status / Target"/>
    <x:tableColumn id="14" name="Tags"/>
    <x:tableColumn id="15" name="Short Effect"/>
    <x:tableColumn id="16" name="Full Effect"/>
    <x:tableColumn id="17" name="First Counter Free"/>
    <x:tableColumn id="18" name="Quirk / Mechanic Flags"/>
    <x:tableColumn id="19" name="Mechanical Signature"/>
    <x:tableColumn id="20" name="Signature Count"/>
    <x:tableColumn id="21" name="Duplicate Status"/>
  </x:tableColumns>
  <x:tableStyleInfo name="TableStyleMedium2" showRowStripes="1"/>
</x:table>
</file>

<file path=xl/tables/table2.xml><?xml version="1.0" encoding="utf-8"?>
<x:table xmlns:x="http://schemas.openxmlformats.org/spreadsheetml/2006/main" id="2" name="CorrectionsTable" displayName="CorrectionsTable" ref="A1:I48" headerRowCount="1">
  <x:tableColumns count="9">
    <x:tableColumn id="1" name="Group"/>
    <x:tableColumn id="2" name="Equipment"/>
    <x:tableColumn id="3" name="Card"/>
    <x:tableColumn id="4" name="Card ID"/>
    <x:tableColumn id="5" name="Change Made"/>
    <x:tableColumn id="6" name="Before Short Effect"/>
    <x:tableColumn id="7" name="After Short Effect"/>
    <x:tableColumn id="8" name="Before Full Effect"/>
    <x:tableColumn id="9" name="After Full Effect"/>
  </x:tableColumns>
  <x:tableStyleInfo name="TableStyleMedium2" showRowStripes="1"/>
</x:table>
</file>

<file path=xl/tables/table3.xml><?xml version="1.0" encoding="utf-8"?>
<x:table xmlns:x="http://schemas.openxmlformats.org/spreadsheetml/2006/main" id="3" name="EquipmentPackagesTable" displayName="EquipmentPackagesTable" ref="A1:G328" headerRowCount="1">
  <x:tableColumns count="7">
    <x:tableColumn id="1" name="Equipment"/>
    <x:tableColumn id="2" name="Original KDM Name"/>
    <x:tableColumn id="3" name="Card Count"/>
    <x:tableColumn id="4" name="Card Package"/>
    <x:tableColumn id="5" name="Costs/Types"/>
    <x:tableColumn id="6" name="Package Signature"/>
    <x:tableColumn id="7" name="Duplicate Package Count"/>
  </x:tableColumns>
  <x:tableStyleInfo name="TableStyleMedium2" showRowStripes="1"/>
</x:table>
</file>

<file path=xl/tables/table4.xml><?xml version="1.0" encoding="utf-8"?>
<x:table xmlns:x="http://schemas.openxmlformats.org/spreadsheetml/2006/main" id="4" name="CounterCardsTable" displayName="CounterCardsTable" ref="A1:H48" headerRowCount="1">
  <x:tableColumns count="8">
    <x:tableColumn id="1" name="Equipment"/>
    <x:tableColumn id="2" name="Card Name"/>
    <x:tableColumn id="3" name="Cost"/>
    <x:tableColumn id="4" name="Type"/>
    <x:tableColumn id="5" name="Short Effect"/>
    <x:tableColumn id="6" name="Full Effect"/>
    <x:tableColumn id="7" name="First Counter Free"/>
    <x:tableColumn id="8" name="Mechanic Flag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ea1314f07f49a7" /></Relationships>
</file>

<file path=xl/worksheets/_rels/sheet3.xml.rels>&#65279;<?xml version="1.0" encoding="utf-8"?><Relationships xmlns="http://schemas.openxmlformats.org/package/2006/relationships"><Relationship Type="http://schemas.openxmlformats.org/officeDocument/2006/relationships/table" Target="/xl/tables/table2.xml" Id="R8747cf61dc614583" /></Relationships>
</file>

<file path=xl/worksheets/_rels/sheet4.xml.rels>&#65279;<?xml version="1.0" encoding="utf-8"?><Relationships xmlns="http://schemas.openxmlformats.org/package/2006/relationships"><Relationship Type="http://schemas.openxmlformats.org/officeDocument/2006/relationships/table" Target="/xl/tables/table3.xml" Id="Re56fb334b59c4061" /></Relationships>
</file>

<file path=xl/worksheets/_rels/sheet5.xml.rels>&#65279;<?xml version="1.0" encoding="utf-8"?><Relationships xmlns="http://schemas.openxmlformats.org/package/2006/relationships"><Relationship Type="http://schemas.openxmlformats.org/officeDocument/2006/relationships/table" Target="/xl/tables/table4.xml" Id="R48e16c366bbf41db" /></Relationships>
</file>

<file path=xl/worksheets/sheet1.xml><?xml version="1.0" encoding="utf-8"?>
<x:worksheet xmlns:x="http://schemas.openxmlformats.org/spreadsheetml/2006/main">
  <x:sheetFormatPr defaultRowHeight="15"/>
  <x:cols>
    <x:col min="1" max="1" width="41.25" hidden="0" customWidth="1"/>
    <x:col min="2" max="2" width="121.62999725341797" hidden="0" customWidth="1"/>
  </x:cols>
  <x:sheetData>
    <x:row r="1" ht="16.799999237060547" hidden="0" customHeight="1">
      <x:c r="A1" s="14" t="str">
        <x:v>Gear Master Overhaul — Card Verification</x:v>
      </x:c>
      <x:c r="B1" s="15" t="str"/>
    </x:row>
    <x:row r="2" ht="15" hidden="0" customHeight="1">
      <x:c r="A2" s="16" t="str">
        <x:v>Package version</x:v>
      </x:c>
      <x:c r="B2" s="17" t="str">
        <x:v>gear-master-overhaul-clean-v4</x:v>
      </x:c>
    </x:row>
    <x:row r="3" ht="15" hidden="0" customHeight="1">
      <x:c r="A3" s="16" t="str">
        <x:v>Equipment entries</x:v>
      </x:c>
      <x:c r="B3" s="17" t="n">
        <x:v>327</x:v>
      </x:c>
    </x:row>
    <x:row r="4" ht="15" hidden="0" customHeight="1">
      <x:c r="A4" s="16" t="str">
        <x:v>Total cards</x:v>
      </x:c>
      <x:c r="B4" s="17" t="n">
        <x:v>756</x:v>
      </x:c>
    </x:row>
    <x:row r="5" ht="15" hidden="0" customHeight="1">
      <x:c r="A5" s="16" t="str">
        <x:v>Duplicate card IDs</x:v>
      </x:c>
      <x:c r="B5" s="17" t="n">
        <x:v>0</x:v>
      </x:c>
    </x:row>
    <x:row r="6" ht="15" hidden="0" customHeight="1">
      <x:c r="A6" s="16" t="str">
        <x:v>Duplicate card names</x:v>
      </x:c>
      <x:c r="B6" s="17" t="n">
        <x:v>0</x:v>
      </x:c>
    </x:row>
    <x:row r="7" ht="15" hidden="0" customHeight="1">
      <x:c r="A7" s="16" t="str">
        <x:v>Duplicate visible effects (cost + type + short + full)</x:v>
      </x:c>
      <x:c r="B7" s="17" t="n">
        <x:v>0</x:v>
      </x:c>
    </x:row>
    <x:row r="8" ht="15" hidden="0" customHeight="1">
      <x:c r="A8" s="16" t="str">
        <x:v>Duplicate full effect texts</x:v>
      </x:c>
      <x:c r="B8" s="17" t="n">
        <x:v>0</x:v>
      </x:c>
    </x:row>
    <x:row r="9" ht="15" hidden="0" customHeight="1">
      <x:c r="A9" s="16" t="str">
        <x:v>Duplicate mechanical card cores</x:v>
      </x:c>
      <x:c r="B9" s="17" t="n">
        <x:v>0</x:v>
      </x:c>
    </x:row>
    <x:row r="10" ht="15" hidden="0" customHeight="1">
      <x:c r="A10" s="16" t="str">
        <x:v>Duplicate whole equipment packages</x:v>
      </x:c>
      <x:c r="B10" s="17" t="n">
        <x:v>0</x:v>
      </x:c>
    </x:row>
    <x:row r="11" ht="15" hidden="0" customHeight="1">
      <x:c r="A11" s="16" t="str">
        <x:v>Cards adjusted in second-pass audit</x:v>
      </x:c>
      <x:c r="B11" s="17" t="n">
        <x:v>47</x:v>
      </x:c>
    </x:row>
    <x:row r="12" ht="15" hidden="0" customHeight="1">
      <x:c r="A12" s="16" t="str">
        <x:v>First-counter-free cards flagged</x:v>
      </x:c>
      <x:c r="B12" s="17" t="n">
        <x:v>47</x:v>
      </x:c>
    </x:row>
    <x:row r="13" ht="15" hidden="0" customHeight="1">
      <x:c r="A13" s="16" t="str">
        <x:v>Shared short summaries remaining</x:v>
      </x:c>
      <x:c r="B13" s="17" t="str">
        <x:v>131 groups / 484 rows</x:v>
      </x:c>
    </x:row>
    <x:row r="14" ht="15" hidden="0" customHeight="1">
      <x:c r="A14" s="16" t="str">
        <x:v>Note on shared short summaries</x:v>
      </x:c>
      <x:c r="B14" s="17" t="str">
        <x:v>Short summaries may still reuse broad wording, but no full visible effect or mechanical core is identical.</x:v>
      </x:c>
    </x:row>
    <x:row r="15" ht="15" hidden="0" customHeight="1">
      <x:c r="A15" s="18" t="str">
        <x:v>Audit definition</x:v>
      </x:c>
      <x:c r="B15" s="19" t="str">
        <x:v>Cards are identical only if cost, type, shortEffect, fullEffect, tags, damage/break/block/status/target/quirk/counter flags and other mechanical fields are all identical.</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12" hidden="0" customWidth="1"/>
    <x:col min="4" max="4" width="16" hidden="0" customWidth="1"/>
    <x:col min="5" max="5" width="10" hidden="0" customWidth="1"/>
    <x:col min="6" max="6" width="12" hidden="0" customWidth="1"/>
    <x:col min="7" max="7" width="30" hidden="0" customWidth="1"/>
    <x:col min="8" max="8" width="8" hidden="0" customWidth="1"/>
    <x:col min="9" max="9" width="12" hidden="0" customWidth="1"/>
    <x:col min="10" max="10" width="8" hidden="0" customWidth="1"/>
    <x:col min="11" max="11" width="8" hidden="0" customWidth="1"/>
    <x:col min="12" max="12" width="10" hidden="0" customWidth="1"/>
    <x:col min="13" max="13" width="22" hidden="0" customWidth="1"/>
    <x:col min="14" max="14" width="28" hidden="0" customWidth="1"/>
    <x:col min="15" max="15" width="44" hidden="0" customWidth="1"/>
    <x:col min="16" max="16" width="62" hidden="0" customWidth="1"/>
    <x:col min="17" max="17" width="15" hidden="0" customWidth="1"/>
    <x:col min="18" max="18" width="32" hidden="0" customWidth="1"/>
    <x:col min="19" max="19" width="16" hidden="0" customWidth="1"/>
    <x:col min="20" max="20" width="14" hidden="0" customWidth="1"/>
    <x:col min="21" max="21" width="16" hidden="0" customWidth="1"/>
  </x:cols>
  <x:sheetData>
    <x:row r="1" ht="26.399999618530273" hidden="0" customHeight="1">
      <x:c r="A1" s="29" t="str">
        <x:v>Equipment</x:v>
      </x:c>
      <x:c r="B1" s="29" t="str">
        <x:v>Original KDM Name</x:v>
      </x:c>
      <x:c r="C1" s="29" t="str">
        <x:v>Slot</x:v>
      </x:c>
      <x:c r="D1" s="29" t="str">
        <x:v>Weapon/Item Type</x:v>
      </x:c>
      <x:c r="E1" s="29" t="str">
        <x:v>Tier</x:v>
      </x:c>
      <x:c r="F1" s="29" t="str">
        <x:v>Rarity</x:v>
      </x:c>
      <x:c r="G1" s="29" t="str">
        <x:v>Card Name</x:v>
      </x:c>
      <x:c r="H1" s="29" t="str">
        <x:v>Cost</x:v>
      </x:c>
      <x:c r="I1" s="29" t="str">
        <x:v>Card Type</x:v>
      </x:c>
      <x:c r="J1" s="29" t="str">
        <x:v>Damage</x:v>
      </x:c>
      <x:c r="K1" s="29" t="str">
        <x:v>Break</x:v>
      </x:c>
      <x:c r="L1" s="29" t="str">
        <x:v>Block/Prevent</x:v>
      </x:c>
      <x:c r="M1" s="29" t="str">
        <x:v>Status / Target</x:v>
      </x:c>
      <x:c r="N1" s="29" t="str">
        <x:v>Tags</x:v>
      </x:c>
      <x:c r="O1" s="29" t="str">
        <x:v>Short Effect</x:v>
      </x:c>
      <x:c r="P1" s="29" t="str">
        <x:v>Full Effect</x:v>
      </x:c>
      <x:c r="Q1" s="29" t="str">
        <x:v>First Counter Free</x:v>
      </x:c>
      <x:c r="R1" s="29" t="str">
        <x:v>Quirk / Mechanic Flags</x:v>
      </x:c>
      <x:c r="S1" s="29" t="str">
        <x:v>Mechanical Signature</x:v>
      </x:c>
      <x:c r="T1" s="29" t="str">
        <x:v>Signature Count</x:v>
      </x:c>
      <x:c r="U1" s="29" t="str">
        <x:v>Duplicate Status</x:v>
      </x:c>
    </x:row>
    <x:row r="2" ht="39.599998474121094" hidden="0" customHeight="1">
      <x:c r="A2" s="12" t="str">
        <x:v>Acid Tooth Knife</x:v>
      </x:c>
      <x:c r="B2" s="12" t="str">
        <x:v>ACID TOOTH DAGGER</x:v>
      </x:c>
      <x:c r="C2" s="12" t="str">
        <x:v>weapon</x:v>
      </x:c>
      <x:c r="D2" s="12" t="str">
        <x:v>dagger</x:v>
      </x:c>
      <x:c r="E2" s="12" t="str">
        <x:v>mid</x:v>
      </x:c>
      <x:c r="F2" s="12" t="str">
        <x:v>uncommon</x:v>
      </x:c>
      <x:c r="G2" s="12" t="str">
        <x:v>Acid Tooth Knife — Opening Cut</x:v>
      </x:c>
      <x:c r="H2" s="34" t="n">
        <x:v>0</x:v>
      </x:c>
      <x:c r="I2" s="34" t="str">
        <x:v>attack</x:v>
      </x:c>
      <x:c r="J2" s="34" t="n">
        <x:v>4</x:v>
      </x:c>
      <x:c r="K2" s="34" t="n">
        <x:v>1</x:v>
      </x:c>
      <x:c r="L2" s="34" t="str"/>
      <x:c r="M2" s="12" t="str">
        <x:v>Poison 2 | Target: Gorm</x:v>
      </x:c>
      <x:c r="N2" s="12" t="str">
        <x:v>Quick, Precise, Harvest, Attack</x:v>
      </x:c>
      <x:c r="O2" s="12" t="str">
        <x:v>Deal 4 damage. Apply Poison 2 if the target has a Gorm weak point, otherwise gain Marked 1.</x:v>
      </x:c>
      <x:c r="P2" s="12" t="str">
        <x:v>Deal 4 damage with Acid Tooth Knife. Apply Poison 2 against a matching Gorm weak point; otherwise apply Marked 1. If you already played an attack this turn, add +1 damage or +1 block.</x:v>
      </x:c>
      <x:c r="Q2" s="12" t="str"/>
      <x:c r="R2" s="12" t="str">
        <x:v>quirk: followUp</x:v>
      </x:c>
      <x:c r="S2" s="12" t="str">
        <x:v>7564abaaa891</x:v>
      </x:c>
      <x:c r="T2" s="12" t="n">
        <x:f>COUNTIF($S$2:$S$757,S2)</x:f>
        <x:v>1</x:v>
      </x:c>
      <x:c r="U2" s="12" t="str">
        <x:f>IF(T2=1,"OK","DUPLICATE")</x:f>
        <x:v>OK</x:v>
      </x:c>
    </x:row>
    <x:row r="3" ht="26.399999618530273" hidden="0" customHeight="1">
      <x:c r="A3" s="12" t="str">
        <x:v>Acid Tooth Knife</x:v>
      </x:c>
      <x:c r="B3" s="12" t="str">
        <x:v>ACID TOOTH DAGGER</x:v>
      </x:c>
      <x:c r="C3" s="12" t="str">
        <x:v>weapon</x:v>
      </x:c>
      <x:c r="D3" s="12" t="str">
        <x:v>dagger</x:v>
      </x:c>
      <x:c r="E3" s="12" t="str">
        <x:v>mid</x:v>
      </x:c>
      <x:c r="F3" s="12" t="str">
        <x:v>uncommon</x:v>
      </x:c>
      <x:c r="G3" s="12" t="str">
        <x:v>Acid Tooth Knife — Technique</x:v>
      </x:c>
      <x:c r="H3" s="34" t="n">
        <x:v>2</x:v>
      </x:c>
      <x:c r="I3" s="34" t="str">
        <x:v>skill</x:v>
      </x:c>
      <x:c r="J3" s="34" t="str"/>
      <x:c r="K3" s="34" t="str"/>
      <x:c r="L3" s="34" t="n">
        <x:v>3</x:v>
      </x:c>
      <x:c r="M3" s="12" t="str">
        <x:v>Opens: True</x:v>
      </x:c>
      <x:c r="N3" s="12" t="str">
        <x:v>Quick, Precise, Harvest, Setup</x:v>
      </x:c>
      <x:c r="O3" s="12" t="str">
        <x:v>Expose a fragile weak point; next knife attack gains +2 break damage. Also gain 3 block.</x:v>
      </x:c>
      <x:c r="P3" s="12" t="str">
        <x:v>Expose a fragile weak point; next knife attack gains +2 break damage. Gain 3 block. If you already played an attack this turn, add +1 damage or +1 block.</x:v>
      </x:c>
      <x:c r="Q3" s="12" t="str"/>
      <x:c r="R3" s="12" t="str">
        <x:v>quirk: followUp</x:v>
      </x:c>
      <x:c r="S3" s="12" t="str">
        <x:v>57d7e4566856</x:v>
      </x:c>
      <x:c r="T3" s="12" t="n">
        <x:f>COUNTIF($S$2:$S$757,S3)</x:f>
        <x:v>1</x:v>
      </x:c>
      <x:c r="U3" s="12" t="str">
        <x:f>IF(T3=1,"OK","DUPLICATE")</x:f>
        <x:v>OK</x:v>
      </x:c>
    </x:row>
    <x:row r="4" ht="26.399999618530273" hidden="0" customHeight="1">
      <x:c r="A4" s="12" t="str">
        <x:v>Acid Tooth Knife</x:v>
      </x:c>
      <x:c r="B4" s="12" t="str">
        <x:v>ACID TOOTH DAGGER</x:v>
      </x:c>
      <x:c r="C4" s="12" t="str">
        <x:v>weapon</x:v>
      </x:c>
      <x:c r="D4" s="12" t="str">
        <x:v>dagger</x:v>
      </x:c>
      <x:c r="E4" s="12" t="str">
        <x:v>mid</x:v>
      </x:c>
      <x:c r="F4" s="12" t="str">
        <x:v>uncommon</x:v>
      </x:c>
      <x:c r="G4" s="12" t="str">
        <x:v>Acid Tooth Knife — Payoff</x:v>
      </x:c>
      <x:c r="H4" s="34" t="n">
        <x:v>2</x:v>
      </x:c>
      <x:c r="I4" s="34" t="str">
        <x:v>attack</x:v>
      </x:c>
      <x:c r="J4" s="34" t="n">
        <x:v>5</x:v>
      </x:c>
      <x:c r="K4" s="34" t="n">
        <x:v>2</x:v>
      </x:c>
      <x:c r="L4" s="34" t="str"/>
      <x:c r="M4" s="12" t="str">
        <x:v>Poison 1</x:v>
      </x:c>
      <x:c r="N4" s="12" t="str">
        <x:v>Quick, Precise, Harvest, Payoff, WeakPoint</x:v>
      </x:c>
      <x:c r="O4" s="12" t="str">
        <x:v>Deal 5 damage and 2 break damage. If this breaks a weak point, resolve Poison 1 and the followUp rider.</x:v>
      </x:c>
      <x:c r="P4" s="12" t="str">
        <x:v>Deal 5 damage and 2 break damage. If the weak point breaks, apply Poison 1 and resolve: If you already played an attack this turn, add +1 damage or +1 block.</x:v>
      </x:c>
      <x:c r="Q4" s="12" t="str"/>
      <x:c r="R4" s="12" t="str">
        <x:v>quirk: followUp | countsAsCounter False, firstCounterFree False</x:v>
      </x:c>
      <x:c r="S4" s="12" t="str">
        <x:v>b891ccc37eb5</x:v>
      </x:c>
      <x:c r="T4" s="12" t="n">
        <x:f>COUNTIF($S$2:$S$757,S4)</x:f>
        <x:v>1</x:v>
      </x:c>
      <x:c r="U4" s="12" t="str">
        <x:f>IF(T4=1,"OK","DUPLICATE")</x:f>
        <x:v>OK</x:v>
      </x:c>
    </x:row>
    <x:row r="5" ht="39.599998474121094" hidden="0" customHeight="1">
      <x:c r="A5" s="12" t="str">
        <x:v>Acid Tusk Dirk</x:v>
      </x:c>
      <x:c r="B5" s="12" t="str">
        <x:v>ACID TUSK DIRK</x:v>
      </x:c>
      <x:c r="C5" s="12" t="str">
        <x:v>tool</x:v>
      </x:c>
      <x:c r="D5" s="12" t="str">
        <x:v>tool</x:v>
      </x:c>
      <x:c r="E5" s="12" t="str">
        <x:v>mid</x:v>
      </x:c>
      <x:c r="F5" s="12" t="str">
        <x:v>uncommon</x:v>
      </x:c>
      <x:c r="G5" s="12" t="str">
        <x:v>Acid Tusk Dirk — Use</x:v>
      </x:c>
      <x:c r="H5" s="34" t="n">
        <x:v>1</x:v>
      </x:c>
      <x:c r="I5" s="34" t="str">
        <x:v>skill</x:v>
      </x:c>
      <x:c r="J5" s="34" t="str"/>
      <x:c r="K5" s="34" t="str"/>
      <x:c r="L5" s="34" t="str"/>
      <x:c r="M5" s="12" t="str">
        <x:v>Poison 3</x:v>
      </x:c>
      <x:c r="N5" s="12" t="str">
        <x:v>Tool, Harvest, Retreat</x:v>
      </x:c>
      <x:c r="O5" s="12" t="str">
        <x:v>Gain +4 to the next harvest, retreat, or weak-point test. If it fails, apply Poison 3 to the quarry or clear it from a survivor.</x:v>
      </x:c>
      <x:c r="P5" s="12" t="str">
        <x:v>Gain +4 to the next harvest, retreat, or weak-point test linked to Gormery. On failure, either apply Poison 3 to the quarry or clear that status from a survivor. After use, Exhaust this equipment until the next monster turn.</x:v>
      </x:c>
      <x:c r="Q5" s="12" t="str"/>
      <x:c r="R5" s="12" t="str">
        <x:v>quirk: exhaust</x:v>
      </x:c>
      <x:c r="S5" s="12" t="str">
        <x:v>b0ec440a9f6f</x:v>
      </x:c>
      <x:c r="T5" s="12" t="n">
        <x:f>COUNTIF($S$2:$S$757,S5)</x:f>
        <x:v>1</x:v>
      </x:c>
      <x:c r="U5" s="12" t="str">
        <x:f>IF(T5=1,"OK","DUPLICATE")</x:f>
        <x:v>OK</x:v>
      </x:c>
    </x:row>
    <x:row r="6" ht="39.599998474121094" hidden="0" customHeight="1">
      <x:c r="A6" s="12" t="str">
        <x:v>Acid Tusk Dirk</x:v>
      </x:c>
      <x:c r="B6" s="12" t="str">
        <x:v>ACID TUSK DIRK</x:v>
      </x:c>
      <x:c r="C6" s="12" t="str">
        <x:v>tool</x:v>
      </x:c>
      <x:c r="D6" s="12" t="str">
        <x:v>tool</x:v>
      </x:c>
      <x:c r="E6" s="12" t="str">
        <x:v>mid</x:v>
      </x:c>
      <x:c r="F6" s="12" t="str">
        <x:v>uncommon</x:v>
      </x:c>
      <x:c r="G6" s="12" t="str">
        <x:v>Acid Tusk Dirk — Contingency</x:v>
      </x:c>
      <x:c r="H6" s="34" t="n">
        <x:v>1</x:v>
      </x:c>
      <x:c r="I6" s="34" t="str">
        <x:v>reaction</x:v>
      </x:c>
      <x:c r="J6" s="34" t="str"/>
      <x:c r="K6" s="34" t="str"/>
      <x:c r="L6" s="34" t="str"/>
      <x:c r="M6" s="12" t="str"/>
      <x:c r="N6" s="12" t="str">
        <x:v>Tool, Harvest, Retreat</x:v>
      </x:c>
      <x:c r="O6" s="12" t="str">
        <x:v>When a hunt or monster consequence is previewed, reduce it by 4; on retreat, preserve 1 gathered resource.</x:v>
      </x:c>
      <x:c r="P6" s="12" t="str">
        <x:v>When a hunt event, retreat roll, or monster consequence is previewed, reduce the penalty by 4. If retreating, preserve 1 gathered resource. After use, Exhaust this equipment until the next monster turn.</x:v>
      </x:c>
      <x:c r="Q6" s="12" t="str"/>
      <x:c r="R6" s="12" t="str">
        <x:v>quirk: exhaust</x:v>
      </x:c>
      <x:c r="S6" s="12" t="str">
        <x:v>d31c32a9d1a7</x:v>
      </x:c>
      <x:c r="T6" s="12" t="n">
        <x:f>COUNTIF($S$2:$S$757,S6)</x:f>
        <x:v>1</x:v>
      </x:c>
      <x:c r="U6" s="12" t="str">
        <x:f>IF(T6=1,"OK","DUPLICATE")</x:f>
        <x:v>OK</x:v>
      </x:c>
    </x:row>
    <x:row r="7" ht="39.599998474121094" hidden="0" customHeight="1">
      <x:c r="A7" s="12" t="str">
        <x:v>Almanac</x:v>
      </x:c>
      <x:c r="B7" s="12" t="str">
        <x:v>ALMANAC</x:v>
      </x:c>
      <x:c r="C7" s="12" t="str">
        <x:v>tool</x:v>
      </x:c>
      <x:c r="D7" s="12" t="str">
        <x:v>tool</x:v>
      </x:c>
      <x:c r="E7" s="12" t="str">
        <x:v>mid</x:v>
      </x:c>
      <x:c r="F7" s="12" t="str">
        <x:v>uncommon</x:v>
      </x:c>
      <x:c r="G7" s="12" t="str">
        <x:v>Almanac — Use</x:v>
      </x:c>
      <x:c r="H7" s="34" t="n">
        <x:v>1</x:v>
      </x:c>
      <x:c r="I7" s="34" t="str">
        <x:v>skill</x:v>
      </x:c>
      <x:c r="J7" s="34" t="str"/>
      <x:c r="K7" s="34" t="str"/>
      <x:c r="L7" s="34" t="str"/>
      <x:c r="M7" s="12" t="str">
        <x:v>Snared 1</x:v>
      </x:c>
      <x:c r="N7" s="12" t="str">
        <x:v>Tool, Harvest, Retreat</x:v>
      </x:c>
      <x:c r="O7" s="12" t="str">
        <x:v>Gain +2 to the next harvest, retreat, or weak-point test. If it fails, apply Snared 1 to the quarry or clear it from a survivor.</x:v>
      </x:c>
      <x:c r="P7" s="12" t="str">
        <x:v>Gain +2 to the next harvest, retreat, or weak-point test linked to Barber Surgeon. On failure, either apply Snared 1 to the quarry or clear that status from a survivor. On a failed harvest, keep one common fallback material.</x:v>
      </x:c>
      <x:c r="Q7" s="12" t="str"/>
      <x:c r="R7" s="12" t="str">
        <x:v>quirk: salvage</x:v>
      </x:c>
      <x:c r="S7" s="12" t="str">
        <x:v>1fbfcf1ed5ed</x:v>
      </x:c>
      <x:c r="T7" s="12" t="n">
        <x:f>COUNTIF($S$2:$S$757,S7)</x:f>
        <x:v>1</x:v>
      </x:c>
      <x:c r="U7" s="12" t="str">
        <x:f>IF(T7=1,"OK","DUPLICATE")</x:f>
        <x:v>OK</x:v>
      </x:c>
    </x:row>
    <x:row r="8" ht="39.599998474121094" hidden="0" customHeight="1">
      <x:c r="A8" s="12" t="str">
        <x:v>Almanac</x:v>
      </x:c>
      <x:c r="B8" s="12" t="str">
        <x:v>ALMANAC</x:v>
      </x:c>
      <x:c r="C8" s="12" t="str">
        <x:v>tool</x:v>
      </x:c>
      <x:c r="D8" s="12" t="str">
        <x:v>tool</x:v>
      </x:c>
      <x:c r="E8" s="12" t="str">
        <x:v>mid</x:v>
      </x:c>
      <x:c r="F8" s="12" t="str">
        <x:v>uncommon</x:v>
      </x:c>
      <x:c r="G8" s="12" t="str">
        <x:v>Almanac — Contingency</x:v>
      </x:c>
      <x:c r="H8" s="34" t="n">
        <x:v>1</x:v>
      </x:c>
      <x:c r="I8" s="34" t="str">
        <x:v>reaction</x:v>
      </x:c>
      <x:c r="J8" s="34" t="str"/>
      <x:c r="K8" s="34" t="str"/>
      <x:c r="L8" s="34" t="str"/>
      <x:c r="M8" s="12" t="str"/>
      <x:c r="N8" s="12" t="str">
        <x:v>Tool, Harvest, Retreat</x:v>
      </x:c>
      <x:c r="O8" s="12" t="str">
        <x:v>When a hunt or monster consequence is previewed, reduce it by 2; on retreat, preserve 2 gathered resource.</x:v>
      </x:c>
      <x:c r="P8" s="12" t="str">
        <x:v>When a hunt event, retreat roll, or monster consequence is previewed, reduce the penalty by 2. If retreating, preserve 2 gathered resource. On a failed harvest, keep one common fallback material.</x:v>
      </x:c>
      <x:c r="Q8" s="12" t="str"/>
      <x:c r="R8" s="12" t="str">
        <x:v>quirk: salvage</x:v>
      </x:c>
      <x:c r="S8" s="12" t="str">
        <x:v>eab07fe71aa4</x:v>
      </x:c>
      <x:c r="T8" s="12" t="n">
        <x:f>COUNTIF($S$2:$S$757,S8)</x:f>
        <x:v>1</x:v>
      </x:c>
      <x:c r="U8" s="12" t="str">
        <x:f>IF(T8=1,"OK","DUPLICATE")</x:f>
        <x:v>OK</x:v>
      </x:c>
    </x:row>
    <x:row r="9" ht="39.599998474121094" hidden="0" customHeight="1">
      <x:c r="A9" s="12" t="str">
        <x:v>Amber Bow</x:v>
      </x:c>
      <x:c r="B9" s="12" t="str">
        <x:v>AMBER BOW</x:v>
      </x:c>
      <x:c r="C9" s="12" t="str">
        <x:v>weapon</x:v>
      </x:c>
      <x:c r="D9" s="12" t="str">
        <x:v>bow</x:v>
      </x:c>
      <x:c r="E9" s="12" t="str">
        <x:v>mid</x:v>
      </x:c>
      <x:c r="F9" s="12" t="str">
        <x:v>uncommon</x:v>
      </x:c>
      <x:c r="G9" s="12" t="str">
        <x:v>Amber Bow — Opening Strike</x:v>
      </x:c>
      <x:c r="H9" s="34" t="n">
        <x:v>1</x:v>
      </x:c>
      <x:c r="I9" s="34" t="str">
        <x:v>attack</x:v>
      </x:c>
      <x:c r="J9" s="34" t="n">
        <x:v>3</x:v>
      </x:c>
      <x:c r="K9" s="34" t="n">
        <x:v>2</x:v>
      </x:c>
      <x:c r="L9" s="34" t="str"/>
      <x:c r="M9" s="12" t="str">
        <x:v>Shock 2 | Target: Spurkulese</x:v>
      </x:c>
      <x:c r="N9" s="12" t="str">
        <x:v>Ranged, Marking, Precise, Attack</x:v>
      </x:c>
      <x:c r="O9" s="12" t="str">
        <x:v>Deal 3 damage. Apply Shock 2 if the target has a Spurkulese weak point, otherwise gain Marked 1.</x:v>
      </x:c>
      <x:c r="P9" s="12" t="str">
        <x:v>Deal 3 damage with Amber Bow. Apply Shock 2 against a matching Spurkulese weak point; otherwise apply Marked 1. If you have Guarded, convert 1 Guarded into +2 damage.</x:v>
      </x:c>
      <x:c r="Q9" s="12" t="str"/>
      <x:c r="R9" s="12" t="str">
        <x:v>quirk: guarded</x:v>
      </x:c>
      <x:c r="S9" s="12" t="str">
        <x:v>53282df95463</x:v>
      </x:c>
      <x:c r="T9" s="12" t="n">
        <x:f>COUNTIF($S$2:$S$757,S9)</x:f>
        <x:v>1</x:v>
      </x:c>
      <x:c r="U9" s="12" t="str">
        <x:f>IF(T9=1,"OK","DUPLICATE")</x:f>
        <x:v>OK</x:v>
      </x:c>
    </x:row>
    <x:row r="10" ht="26.399999618530273" hidden="0" customHeight="1">
      <x:c r="A10" s="12" t="str">
        <x:v>Amber Bow</x:v>
      </x:c>
      <x:c r="B10" s="12" t="str">
        <x:v>AMBER BOW</x:v>
      </x:c>
      <x:c r="C10" s="12" t="str">
        <x:v>weapon</x:v>
      </x:c>
      <x:c r="D10" s="12" t="str">
        <x:v>bow</x:v>
      </x:c>
      <x:c r="E10" s="12" t="str">
        <x:v>mid</x:v>
      </x:c>
      <x:c r="F10" s="12" t="str">
        <x:v>uncommon</x:v>
      </x:c>
      <x:c r="G10" s="12" t="str">
        <x:v>Amber Bow — Technique</x:v>
      </x:c>
      <x:c r="H10" s="34" t="n">
        <x:v>1</x:v>
      </x:c>
      <x:c r="I10" s="34" t="str">
        <x:v>skill</x:v>
      </x:c>
      <x:c r="J10" s="34" t="str"/>
      <x:c r="K10" s="34" t="str"/>
      <x:c r="L10" s="34" t="n">
        <x:v>3</x:v>
      </x:c>
      <x:c r="M10" s="12" t="str">
        <x:v>Opens: True</x:v>
      </x:c>
      <x:c r="N10" s="12" t="str">
        <x:v>Ranged, Marking, Precise, Setup</x:v>
      </x:c>
      <x:c r="O10" s="12" t="str">
        <x:v>Mark a wing, eye or distant weak point; ranged attacks ignore Guarded 1. Also gain 3 block.</x:v>
      </x:c>
      <x:c r="P10" s="12" t="str">
        <x:v>Mark a wing, eye or distant weak point; ranged attacks ignore Guarded 1. Gain 3 block. If you have Guarded, convert 1 Guarded into +2 damage.</x:v>
      </x:c>
      <x:c r="Q10" s="12" t="str"/>
      <x:c r="R10" s="12" t="str">
        <x:v>quirk: guarded</x:v>
      </x:c>
      <x:c r="S10" s="12" t="str">
        <x:v>ac25b2969cbd</x:v>
      </x:c>
      <x:c r="T10" s="12" t="n">
        <x:f>COUNTIF($S$2:$S$757,S10)</x:f>
        <x:v>1</x:v>
      </x:c>
      <x:c r="U10" s="12" t="str">
        <x:f>IF(T10=1,"OK","DUPLICATE")</x:f>
        <x:v>OK</x:v>
      </x:c>
    </x:row>
    <x:row r="11" ht="26.399999618530273" hidden="0" customHeight="1">
      <x:c r="A11" s="12" t="str">
        <x:v>Amber Bow</x:v>
      </x:c>
      <x:c r="B11" s="12" t="str">
        <x:v>AMBER BOW</x:v>
      </x:c>
      <x:c r="C11" s="12" t="str">
        <x:v>weapon</x:v>
      </x:c>
      <x:c r="D11" s="12" t="str">
        <x:v>bow</x:v>
      </x:c>
      <x:c r="E11" s="12" t="str">
        <x:v>mid</x:v>
      </x:c>
      <x:c r="F11" s="12" t="str">
        <x:v>uncommon</x:v>
      </x:c>
      <x:c r="G11" s="12" t="str">
        <x:v>Amber Bow — Payoff</x:v>
      </x:c>
      <x:c r="H11" s="34" t="n">
        <x:v>2</x:v>
      </x:c>
      <x:c r="I11" s="34" t="str">
        <x:v>attack</x:v>
      </x:c>
      <x:c r="J11" s="34" t="n">
        <x:v>5</x:v>
      </x:c>
      <x:c r="K11" s="34" t="n">
        <x:v>3</x:v>
      </x:c>
      <x:c r="L11" s="34" t="str"/>
      <x:c r="M11" s="12" t="str">
        <x:v>Shock 1</x:v>
      </x:c>
      <x:c r="N11" s="12" t="str">
        <x:v>Ranged, Marking, Precise, Payoff, WeakPoint</x:v>
      </x:c>
      <x:c r="O11" s="12" t="str">
        <x:v>Deal 5 damage and 3 break damage. If this breaks a weak point, resolve Shock 1 and the guarded rider.</x:v>
      </x:c>
      <x:c r="P11" s="12" t="str">
        <x:v>Deal 5 damage and 3 break damage. If the weak point breaks, apply Shock 1 and resolve: If you have Guarded, convert 1 Guarded into +2 damage.</x:v>
      </x:c>
      <x:c r="Q11" s="12" t="str"/>
      <x:c r="R11" s="12" t="str">
        <x:v>quirk: guarded | countsAsCounter False, firstCounterFree False</x:v>
      </x:c>
      <x:c r="S11" s="12" t="str">
        <x:v>b0bc75b60fa2</x:v>
      </x:c>
      <x:c r="T11" s="12" t="n">
        <x:f>COUNTIF($S$2:$S$757,S11)</x:f>
        <x:v>1</x:v>
      </x:c>
      <x:c r="U11" s="12" t="str">
        <x:f>IF(T11=1,"OK","DUPLICATE")</x:f>
        <x:v>OK</x:v>
      </x:c>
    </x:row>
    <x:row r="12" ht="26.399999618530273" hidden="0" customHeight="1">
      <x:c r="A12" s="12" t="str">
        <x:v>Amber Cello (Hunt Phase)</x:v>
      </x:c>
      <x:c r="B12" s="12" t="str">
        <x:v>AMBER CELLO (HUNT PHASE)</x:v>
      </x:c>
      <x:c r="C12" s="12" t="str">
        <x:v>tool</x:v>
      </x:c>
      <x:c r="D12" s="12" t="str">
        <x:v>instrument</x:v>
      </x:c>
      <x:c r="E12" s="12" t="str">
        <x:v>early</x:v>
      </x:c>
      <x:c r="F12" s="12" t="str">
        <x:v>uncommon</x:v>
      </x:c>
      <x:c r="G12" s="12" t="str">
        <x:v>Amber Cello (Hunt Phase) — Hunt Call</x:v>
      </x:c>
      <x:c r="H12" s="34" t="n">
        <x:v>1</x:v>
      </x:c>
      <x:c r="I12" s="34" t="str">
        <x:v>support</x:v>
      </x:c>
      <x:c r="J12" s="34" t="str"/>
      <x:c r="K12" s="34" t="str"/>
      <x:c r="L12" s="34" t="n">
        <x:v>3</x:v>
      </x:c>
      <x:c r="M12" s="12" t="str"/>
      <x:c r="N12" s="12" t="str">
        <x:v>Support, Party, Panic</x:v>
      </x:c>
      <x:c r="O12" s="12" t="str">
        <x:v>Chosen ally gains 3 block and Prepared 3. Gain Panic 1.</x:v>
      </x:c>
      <x:c r="P12" s="12" t="str">
        <x:v>Chosen ally gains 3 block and Prepared 3. If the phase is wrong for this item, also gain Panic 1. If played after blocking, your next Counter gains +2 damage.</x:v>
      </x:c>
      <x:c r="Q12" s="12" t="str"/>
      <x:c r="R12" s="12" t="str">
        <x:v>quirk: counterReady</x:v>
      </x:c>
      <x:c r="S12" s="12" t="str">
        <x:v>dab55a4582c9</x:v>
      </x:c>
      <x:c r="T12" s="12" t="n">
        <x:f>COUNTIF($S$2:$S$757,S12)</x:f>
        <x:v>1</x:v>
      </x:c>
      <x:c r="U12" s="12" t="str">
        <x:f>IF(T12=1,"OK","DUPLICATE")</x:f>
        <x:v>OK</x:v>
      </x:c>
    </x:row>
    <x:row r="13" ht="39.599998474121094" hidden="0" customHeight="1">
      <x:c r="A13" s="12" t="str">
        <x:v>Amber Cello (Hunt Phase)</x:v>
      </x:c>
      <x:c r="B13" s="12" t="str">
        <x:v>AMBER CELLO (HUNT PHASE)</x:v>
      </x:c>
      <x:c r="C13" s="12" t="str">
        <x:v>tool</x:v>
      </x:c>
      <x:c r="D13" s="12" t="str">
        <x:v>instrument</x:v>
      </x:c>
      <x:c r="E13" s="12" t="str">
        <x:v>early</x:v>
      </x:c>
      <x:c r="F13" s="12" t="str">
        <x:v>uncommon</x:v>
      </x:c>
      <x:c r="G13" s="12" t="str">
        <x:v>Amber Cello (Hunt Phase) — Echo</x:v>
      </x:c>
      <x:c r="H13" s="34" t="n">
        <x:v>0</x:v>
      </x:c>
      <x:c r="I13" s="34" t="str">
        <x:v>reaction</x:v>
      </x:c>
      <x:c r="J13" s="34" t="str"/>
      <x:c r="K13" s="34" t="str"/>
      <x:c r="L13" s="34" t="str"/>
      <x:c r="M13" s="12" t="str"/>
      <x:c r="N13" s="12" t="str">
        <x:v>Support, Party, Panic</x:v>
      </x:c>
      <x:c r="O13" s="12" t="str">
        <x:v>After an ally breaks a weak point, give the next ally Guarded 1 or clear Panic 3.</x:v>
      </x:c>
      <x:c r="P13" s="12" t="str">
        <x:v>After an ally breaks a weak point or survives a hunt event, choose: next ally gains Guarded 1, or clear Panic 3. If played after blocking, your next Counter gains +2 damage.</x:v>
      </x:c>
      <x:c r="Q13" s="12" t="str"/>
      <x:c r="R13" s="12" t="str">
        <x:v>quirk: counterReady</x:v>
      </x:c>
      <x:c r="S13" s="12" t="str">
        <x:v>6c308cc05ee9</x:v>
      </x:c>
      <x:c r="T13" s="12" t="n">
        <x:f>COUNTIF($S$2:$S$757,S13)</x:f>
        <x:v>1</x:v>
      </x:c>
      <x:c r="U13" s="12" t="str">
        <x:f>IF(T13=1,"OK","DUPLICATE")</x:f>
        <x:v>OK</x:v>
      </x:c>
    </x:row>
    <x:row r="14" ht="26.399999618530273" hidden="0" customHeight="1">
      <x:c r="A14" s="12" t="str">
        <x:v>Amber Cello (Showdown Phase)</x:v>
      </x:c>
      <x:c r="B14" s="12" t="str">
        <x:v>AMBER CELLO (SHOWDOWN PHASE)</x:v>
      </x:c>
      <x:c r="C14" s="12" t="str">
        <x:v>tool</x:v>
      </x:c>
      <x:c r="D14" s="12" t="str">
        <x:v>instrument</x:v>
      </x:c>
      <x:c r="E14" s="12" t="str">
        <x:v>early</x:v>
      </x:c>
      <x:c r="F14" s="12" t="str">
        <x:v>uncommon</x:v>
      </x:c>
      <x:c r="G14" s="12" t="str">
        <x:v>Amber Cello (Showdown Phase) — War Call</x:v>
      </x:c>
      <x:c r="H14" s="34" t="n">
        <x:v>1</x:v>
      </x:c>
      <x:c r="I14" s="34" t="str">
        <x:v>support</x:v>
      </x:c>
      <x:c r="J14" s="34" t="str"/>
      <x:c r="K14" s="34" t="str"/>
      <x:c r="L14" s="34" t="n">
        <x:v>4</x:v>
      </x:c>
      <x:c r="M14" s="12" t="str"/>
      <x:c r="N14" s="12" t="str">
        <x:v>Support, Party, Panic</x:v>
      </x:c>
      <x:c r="O14" s="12" t="str">
        <x:v>Chosen ally gains 4 block and Prepared 1. Gain Panic 1.</x:v>
      </x:c>
      <x:c r="P14" s="12" t="str">
        <x:v>Chosen ally gains 4 block and Prepared 1. If the phase is wrong for this item, also gain Panic 1. If you play a third attack this round, gain Panic 1.</x:v>
      </x:c>
      <x:c r="Q14" s="12" t="str"/>
      <x:c r="R14" s="12" t="str">
        <x:v>quirk: frenzyCheck</x:v>
      </x:c>
      <x:c r="S14" s="12" t="str">
        <x:v>9e971b42a7e7</x:v>
      </x:c>
      <x:c r="T14" s="12" t="n">
        <x:f>COUNTIF($S$2:$S$757,S14)</x:f>
        <x:v>1</x:v>
      </x:c>
      <x:c r="U14" s="12" t="str">
        <x:f>IF(T14=1,"OK","DUPLICATE")</x:f>
        <x:v>OK</x:v>
      </x:c>
    </x:row>
    <x:row r="15" ht="26.399999618530273" hidden="0" customHeight="1">
      <x:c r="A15" s="12" t="str">
        <x:v>Amber Cello (Showdown Phase)</x:v>
      </x:c>
      <x:c r="B15" s="12" t="str">
        <x:v>AMBER CELLO (SHOWDOWN PHASE)</x:v>
      </x:c>
      <x:c r="C15" s="12" t="str">
        <x:v>tool</x:v>
      </x:c>
      <x:c r="D15" s="12" t="str">
        <x:v>instrument</x:v>
      </x:c>
      <x:c r="E15" s="12" t="str">
        <x:v>early</x:v>
      </x:c>
      <x:c r="F15" s="12" t="str">
        <x:v>uncommon</x:v>
      </x:c>
      <x:c r="G15" s="12" t="str">
        <x:v>Amber Cello (Showdown Phase) — Echo</x:v>
      </x:c>
      <x:c r="H15" s="34" t="n">
        <x:v>1</x:v>
      </x:c>
      <x:c r="I15" s="34" t="str">
        <x:v>reaction</x:v>
      </x:c>
      <x:c r="J15" s="34" t="str"/>
      <x:c r="K15" s="34" t="str"/>
      <x:c r="L15" s="34" t="str"/>
      <x:c r="M15" s="12" t="str"/>
      <x:c r="N15" s="12" t="str">
        <x:v>Support, Party, Panic</x:v>
      </x:c>
      <x:c r="O15" s="12" t="str">
        <x:v>After an ally breaks a weak point, give the next ally Guarded 1 or clear Panic 1.</x:v>
      </x:c>
      <x:c r="P15" s="12" t="str">
        <x:v>After an ally breaks a weak point or survives a hunt event, choose: next ally gains Guarded 1, or clear Panic 1. If you play a third attack this round, gain Panic 1.</x:v>
      </x:c>
      <x:c r="Q15" s="12" t="str"/>
      <x:c r="R15" s="12" t="str">
        <x:v>quirk: frenzyCheck</x:v>
      </x:c>
      <x:c r="S15" s="12" t="str">
        <x:v>adde97119fec</x:v>
      </x:c>
      <x:c r="T15" s="12" t="n">
        <x:f>COUNTIF($S$2:$S$757,S15)</x:f>
        <x:v>1</x:v>
      </x:c>
      <x:c r="U15" s="12" t="str">
        <x:f>IF(T15=1,"OK","DUPLICATE")</x:f>
        <x:v>OK</x:v>
      </x:c>
    </x:row>
    <x:row r="16" ht="39.599998474121094" hidden="0" customHeight="1">
      <x:c r="A16" s="12" t="str">
        <x:v>Amber Twin Knives</x:v>
      </x:c>
      <x:c r="B16" s="12" t="str">
        <x:v>AMBER DAGGERS</x:v>
      </x:c>
      <x:c r="C16" s="12" t="str">
        <x:v>weapon</x:v>
      </x:c>
      <x:c r="D16" s="12" t="str">
        <x:v>dagger</x:v>
      </x:c>
      <x:c r="E16" s="12" t="str">
        <x:v>mid</x:v>
      </x:c>
      <x:c r="F16" s="12" t="str">
        <x:v>uncommon</x:v>
      </x:c>
      <x:c r="G16" s="12" t="str">
        <x:v>Amber Twin Knives — Opening Cut</x:v>
      </x:c>
      <x:c r="H16" s="34" t="n">
        <x:v>0</x:v>
      </x:c>
      <x:c r="I16" s="34" t="str">
        <x:v>attack</x:v>
      </x:c>
      <x:c r="J16" s="34" t="n">
        <x:v>4</x:v>
      </x:c>
      <x:c r="K16" s="34" t="n">
        <x:v>1</x:v>
      </x:c>
      <x:c r="L16" s="34" t="str"/>
      <x:c r="M16" s="12" t="str">
        <x:v>Snared 2 | Target: Spidicules</x:v>
      </x:c>
      <x:c r="N16" s="12" t="str">
        <x:v>Quick, Precise, Harvest, Attack</x:v>
      </x:c>
      <x:c r="O16" s="12" t="str">
        <x:v>Deal 4 damage. Apply Snared 2 if the target has a Spidicules weak point, otherwise gain Marked 1.</x:v>
      </x:c>
      <x:c r="P16" s="12" t="str">
        <x:v>Deal 4 damage with Amber Twin Knives. Apply Snared 2 against a matching Spidicules weak point; otherwise apply Marked 1. You may gain Panic 1 to increase the listed number by 2.</x:v>
      </x:c>
      <x:c r="Q16" s="12" t="str"/>
      <x:c r="R16" s="12" t="str">
        <x:v>quirk: panicBrake</x:v>
      </x:c>
      <x:c r="S16" s="12" t="str">
        <x:v>475a9355e715</x:v>
      </x:c>
      <x:c r="T16" s="12" t="n">
        <x:f>COUNTIF($S$2:$S$757,S16)</x:f>
        <x:v>1</x:v>
      </x:c>
      <x:c r="U16" s="12" t="str">
        <x:f>IF(T16=1,"OK","DUPLICATE")</x:f>
        <x:v>OK</x:v>
      </x:c>
    </x:row>
    <x:row r="17" ht="26.399999618530273" hidden="0" customHeight="1">
      <x:c r="A17" s="12" t="str">
        <x:v>Amber Twin Knives</x:v>
      </x:c>
      <x:c r="B17" s="12" t="str">
        <x:v>AMBER DAGGERS</x:v>
      </x:c>
      <x:c r="C17" s="12" t="str">
        <x:v>weapon</x:v>
      </x:c>
      <x:c r="D17" s="12" t="str">
        <x:v>dagger</x:v>
      </x:c>
      <x:c r="E17" s="12" t="str">
        <x:v>mid</x:v>
      </x:c>
      <x:c r="F17" s="12" t="str">
        <x:v>uncommon</x:v>
      </x:c>
      <x:c r="G17" s="12" t="str">
        <x:v>Amber Twin Knives — Technique</x:v>
      </x:c>
      <x:c r="H17" s="34" t="n">
        <x:v>2</x:v>
      </x:c>
      <x:c r="I17" s="34" t="str">
        <x:v>skill</x:v>
      </x:c>
      <x:c r="J17" s="34" t="str"/>
      <x:c r="K17" s="34" t="str"/>
      <x:c r="L17" s="34" t="n">
        <x:v>3</x:v>
      </x:c>
      <x:c r="M17" s="12" t="str">
        <x:v>Opens: True</x:v>
      </x:c>
      <x:c r="N17" s="12" t="str">
        <x:v>Quick, Precise, Harvest, Setup</x:v>
      </x:c>
      <x:c r="O17" s="12" t="str">
        <x:v>Expose a fragile weak point; next knife attack gains +2 break damage. Also gain 3 block.</x:v>
      </x:c>
      <x:c r="P17" s="12" t="str">
        <x:v>Expose a fragile weak point; next knife attack gains +2 break damage. Gain 3 block. You may gain Panic 1 to increase the listed number by 2.</x:v>
      </x:c>
      <x:c r="Q17" s="12" t="str"/>
      <x:c r="R17" s="12" t="str">
        <x:v>quirk: panicBrake</x:v>
      </x:c>
      <x:c r="S17" s="12" t="str">
        <x:v>e8e571e9c5be</x:v>
      </x:c>
      <x:c r="T17" s="12" t="n">
        <x:f>COUNTIF($S$2:$S$757,S17)</x:f>
        <x:v>1</x:v>
      </x:c>
      <x:c r="U17" s="12" t="str">
        <x:f>IF(T17=1,"OK","DUPLICATE")</x:f>
        <x:v>OK</x:v>
      </x:c>
    </x:row>
    <x:row r="18" ht="26.399999618530273" hidden="0" customHeight="1">
      <x:c r="A18" s="12" t="str">
        <x:v>Amber Twin Knives</x:v>
      </x:c>
      <x:c r="B18" s="12" t="str">
        <x:v>AMBER DAGGERS</x:v>
      </x:c>
      <x:c r="C18" s="12" t="str">
        <x:v>weapon</x:v>
      </x:c>
      <x:c r="D18" s="12" t="str">
        <x:v>dagger</x:v>
      </x:c>
      <x:c r="E18" s="12" t="str">
        <x:v>mid</x:v>
      </x:c>
      <x:c r="F18" s="12" t="str">
        <x:v>uncommon</x:v>
      </x:c>
      <x:c r="G18" s="12" t="str">
        <x:v>Amber Twin Knives — Payoff</x:v>
      </x:c>
      <x:c r="H18" s="34" t="n">
        <x:v>2</x:v>
      </x:c>
      <x:c r="I18" s="34" t="str">
        <x:v>attack</x:v>
      </x:c>
      <x:c r="J18" s="34" t="n">
        <x:v>7</x:v>
      </x:c>
      <x:c r="K18" s="34" t="n">
        <x:v>2</x:v>
      </x:c>
      <x:c r="L18" s="34" t="str"/>
      <x:c r="M18" s="12" t="str">
        <x:v>Snared 1</x:v>
      </x:c>
      <x:c r="N18" s="12" t="str">
        <x:v>Quick, Precise, Harvest, Payoff, WeakPoint</x:v>
      </x:c>
      <x:c r="O18" s="12" t="str">
        <x:v>Deal 7 damage and 2 break damage. If this breaks a weak point, resolve Snared 1 and the panicBrake rider.</x:v>
      </x:c>
      <x:c r="P18" s="12" t="str">
        <x:v>Deal 7 damage and 2 break damage. If the weak point breaks, apply Snared 1 and resolve: You may gain Panic 1 to increase the listed number by 2.</x:v>
      </x:c>
      <x:c r="Q18" s="12" t="str"/>
      <x:c r="R18" s="12" t="str">
        <x:v>quirk: panicBrake | countsAsCounter False, firstCounterFree False</x:v>
      </x:c>
      <x:c r="S18" s="12" t="str">
        <x:v>02a26b6ff733</x:v>
      </x:c>
      <x:c r="T18" s="12" t="n">
        <x:f>COUNTIF($S$2:$S$757,S18)</x:f>
        <x:v>1</x:v>
      </x:c>
      <x:c r="U18" s="12" t="str">
        <x:f>IF(T18=1,"OK","DUPLICATE")</x:f>
        <x:v>OK</x:v>
      </x:c>
    </x:row>
    <x:row r="19" ht="39.599998474121094" hidden="0" customHeight="1">
      <x:c r="A19" s="12" t="str">
        <x:v>Amber Edge</x:v>
      </x:c>
      <x:c r="B19" s="12" t="str">
        <x:v>AMBER EDGE</x:v>
      </x:c>
      <x:c r="C19" s="12" t="str">
        <x:v>tool</x:v>
      </x:c>
      <x:c r="D19" s="12" t="str">
        <x:v>tool</x:v>
      </x:c>
      <x:c r="E19" s="12" t="str">
        <x:v>mid</x:v>
      </x:c>
      <x:c r="F19" s="12" t="str">
        <x:v>uncommon</x:v>
      </x:c>
      <x:c r="G19" s="12" t="str">
        <x:v>Amber Edge — Use</x:v>
      </x:c>
      <x:c r="H19" s="34" t="n">
        <x:v>1</x:v>
      </x:c>
      <x:c r="I19" s="34" t="str">
        <x:v>skill</x:v>
      </x:c>
      <x:c r="J19" s="34" t="str"/>
      <x:c r="K19" s="34" t="str"/>
      <x:c r="L19" s="34" t="str"/>
      <x:c r="M19" s="12" t="str">
        <x:v>Snared 3</x:v>
      </x:c>
      <x:c r="N19" s="12" t="str">
        <x:v>Tool, Harvest, Retreat</x:v>
      </x:c>
      <x:c r="O19" s="12" t="str">
        <x:v>Gain +4 to the next harvest, retreat, or weak-point test. If it fails, apply Snared 3 to the quarry or clear it from a survivor.</x:v>
      </x:c>
      <x:c r="P19" s="12" t="str">
        <x:v>Gain +4 to the next harvest, retreat, or weak-point test linked to Silk Mill. On failure, either apply Snared 3 to the quarry or clear that status from a survivor. The quarry targets this survivor next unless another card redirects it.</x:v>
      </x:c>
      <x:c r="Q19" s="12" t="str"/>
      <x:c r="R19" s="12" t="str">
        <x:v>quirk: bait</x:v>
      </x:c>
      <x:c r="S19" s="12" t="str">
        <x:v>b4f5099c6ebf</x:v>
      </x:c>
      <x:c r="T19" s="12" t="n">
        <x:f>COUNTIF($S$2:$S$757,S19)</x:f>
        <x:v>1</x:v>
      </x:c>
      <x:c r="U19" s="12" t="str">
        <x:f>IF(T19=1,"OK","DUPLICATE")</x:f>
        <x:v>OK</x:v>
      </x:c>
    </x:row>
    <x:row r="20" ht="39.599998474121094" hidden="0" customHeight="1">
      <x:c r="A20" s="12" t="str">
        <x:v>Amber Edge</x:v>
      </x:c>
      <x:c r="B20" s="12" t="str">
        <x:v>AMBER EDGE</x:v>
      </x:c>
      <x:c r="C20" s="12" t="str">
        <x:v>tool</x:v>
      </x:c>
      <x:c r="D20" s="12" t="str">
        <x:v>tool</x:v>
      </x:c>
      <x:c r="E20" s="12" t="str">
        <x:v>mid</x:v>
      </x:c>
      <x:c r="F20" s="12" t="str">
        <x:v>uncommon</x:v>
      </x:c>
      <x:c r="G20" s="12" t="str">
        <x:v>Amber Edge — Contingency</x:v>
      </x:c>
      <x:c r="H20" s="34" t="n">
        <x:v>1</x:v>
      </x:c>
      <x:c r="I20" s="34" t="str">
        <x:v>reaction</x:v>
      </x:c>
      <x:c r="J20" s="34" t="str"/>
      <x:c r="K20" s="34" t="str"/>
      <x:c r="L20" s="34" t="str"/>
      <x:c r="M20" s="12" t="str"/>
      <x:c r="N20" s="12" t="str">
        <x:v>Tool, Harvest, Retreat</x:v>
      </x:c>
      <x:c r="O20" s="12" t="str">
        <x:v>When a hunt or monster consequence is previewed, reduce it by 4; on retreat, preserve 1 gathered resource.</x:v>
      </x:c>
      <x:c r="P20" s="12" t="str">
        <x:v>When a hunt event, retreat roll, or monster consequence is previewed, reduce the penalty by 4. If retreating, preserve 1 gathered resource. The quarry targets this survivor next unless another card redirects it.</x:v>
      </x:c>
      <x:c r="Q20" s="12" t="str"/>
      <x:c r="R20" s="12" t="str">
        <x:v>quirk: bait</x:v>
      </x:c>
      <x:c r="S20" s="12" t="str">
        <x:v>db25bcedd4b8</x:v>
      </x:c>
      <x:c r="T20" s="12" t="n">
        <x:f>COUNTIF($S$2:$S$757,S20)</x:f>
        <x:v>1</x:v>
      </x:c>
      <x:c r="U20" s="12" t="str">
        <x:f>IF(T20=1,"OK","DUPLICATE")</x:f>
        <x:v>OK</x:v>
      </x:c>
    </x:row>
    <x:row r="21" ht="39.599998474121094" hidden="0" customHeight="1">
      <x:c r="A21" s="12" t="str">
        <x:v>Amber Poleaxe</x:v>
      </x:c>
      <x:c r="B21" s="12" t="str">
        <x:v>AMBER POLEAXE</x:v>
      </x:c>
      <x:c r="C21" s="12" t="str">
        <x:v>weapon</x:v>
      </x:c>
      <x:c r="D21" s="12" t="str">
        <x:v>axe</x:v>
      </x:c>
      <x:c r="E21" s="12" t="str">
        <x:v>mid</x:v>
      </x:c>
      <x:c r="F21" s="12" t="str">
        <x:v>uncommon</x:v>
      </x:c>
      <x:c r="G21" s="12" t="str">
        <x:v>Amber Poleaxe — Opening Strike</x:v>
      </x:c>
      <x:c r="H21" s="34" t="n">
        <x:v>1</x:v>
      </x:c>
      <x:c r="I21" s="34" t="str">
        <x:v>attack</x:v>
      </x:c>
      <x:c r="J21" s="34" t="n">
        <x:v>6</x:v>
      </x:c>
      <x:c r="K21" s="34" t="n">
        <x:v>2</x:v>
      </x:c>
      <x:c r="L21" s="34" t="str"/>
      <x:c r="M21" s="12" t="str">
        <x:v>Snared 1 | Target: Spidicules</x:v>
      </x:c>
      <x:c r="N21" s="12" t="str">
        <x:v>Heavy, Brutal, Harvest, Attack</x:v>
      </x:c>
      <x:c r="O21" s="12" t="str">
        <x:v>Deal 6 damage. Apply Snared 1 if the target has a Spidicules weak point, otherwise gain Marked 1.</x:v>
      </x:c>
      <x:c r="P21" s="12" t="str">
        <x:v>Deal 6 damage with Amber Poleaxe. Apply Snared 1 against a matching Spidicules weak point; otherwise apply Marked 1. If used on a hunt node, also mark one gathered resource as confirmed.</x:v>
      </x:c>
      <x:c r="Q21" s="12" t="str"/>
      <x:c r="R21" s="12" t="str">
        <x:v>quirk: retreat</x:v>
      </x:c>
      <x:c r="S21" s="12" t="str">
        <x:v>cbec50678d2a</x:v>
      </x:c>
      <x:c r="T21" s="12" t="n">
        <x:f>COUNTIF($S$2:$S$757,S21)</x:f>
        <x:v>1</x:v>
      </x:c>
      <x:c r="U21" s="12" t="str">
        <x:f>IF(T21=1,"OK","DUPLICATE")</x:f>
        <x:v>OK</x:v>
      </x:c>
    </x:row>
    <x:row r="22" ht="39.599998474121094" hidden="0" customHeight="1">
      <x:c r="A22" s="12" t="str">
        <x:v>Amber Poleaxe</x:v>
      </x:c>
      <x:c r="B22" s="12" t="str">
        <x:v>AMBER POLEAXE</x:v>
      </x:c>
      <x:c r="C22" s="12" t="str">
        <x:v>weapon</x:v>
      </x:c>
      <x:c r="D22" s="12" t="str">
        <x:v>axe</x:v>
      </x:c>
      <x:c r="E22" s="12" t="str">
        <x:v>mid</x:v>
      </x:c>
      <x:c r="F22" s="12" t="str">
        <x:v>uncommon</x:v>
      </x:c>
      <x:c r="G22" s="12" t="str">
        <x:v>Amber Poleaxe — Technique</x:v>
      </x:c>
      <x:c r="H22" s="34" t="n">
        <x:v>3</x:v>
      </x:c>
      <x:c r="I22" s="34" t="str">
        <x:v>skill</x:v>
      </x:c>
      <x:c r="J22" s="34" t="str"/>
      <x:c r="K22" s="34" t="str"/>
      <x:c r="L22" s="34" t="n">
        <x:v>2</x:v>
      </x:c>
      <x:c r="M22" s="12" t="str">
        <x:v>Opens: True</x:v>
      </x:c>
      <x:c r="N22" s="12" t="str">
        <x:v>Heavy, Brutal, Harvest, Setup</x:v>
      </x:c>
      <x:c r="O22" s="12" t="str">
        <x:v>Commit to a heavy chop; +3 break damage but failed fragile harvests worsen by one step. Also gain 2 block.</x:v>
      </x:c>
      <x:c r="P22" s="12" t="str">
        <x:v>Commit to a heavy chop; +3 break damage but failed fragile harvests worsen by one step. Gain 2 block. If used on a hunt node, also mark one gathered resource as confirmed.</x:v>
      </x:c>
      <x:c r="Q22" s="12" t="str"/>
      <x:c r="R22" s="12" t="str">
        <x:v>quirk: retreat</x:v>
      </x:c>
      <x:c r="S22" s="12" t="str">
        <x:v>15c3008a8089</x:v>
      </x:c>
      <x:c r="T22" s="12" t="n">
        <x:f>COUNTIF($S$2:$S$757,S22)</x:f>
        <x:v>1</x:v>
      </x:c>
      <x:c r="U22" s="12" t="str">
        <x:f>IF(T22=1,"OK","DUPLICATE")</x:f>
        <x:v>OK</x:v>
      </x:c>
    </x:row>
    <x:row r="23" ht="26.399999618530273" hidden="0" customHeight="1">
      <x:c r="A23" s="12" t="str">
        <x:v>Amber Poleaxe</x:v>
      </x:c>
      <x:c r="B23" s="12" t="str">
        <x:v>AMBER POLEAXE</x:v>
      </x:c>
      <x:c r="C23" s="12" t="str">
        <x:v>weapon</x:v>
      </x:c>
      <x:c r="D23" s="12" t="str">
        <x:v>axe</x:v>
      </x:c>
      <x:c r="E23" s="12" t="str">
        <x:v>mid</x:v>
      </x:c>
      <x:c r="F23" s="12" t="str">
        <x:v>uncommon</x:v>
      </x:c>
      <x:c r="G23" s="12" t="str">
        <x:v>Amber Poleaxe — Payoff</x:v>
      </x:c>
      <x:c r="H23" s="34" t="n">
        <x:v>3</x:v>
      </x:c>
      <x:c r="I23" s="34" t="str">
        <x:v>attack</x:v>
      </x:c>
      <x:c r="J23" s="34" t="n">
        <x:v>8</x:v>
      </x:c>
      <x:c r="K23" s="34" t="n">
        <x:v>3</x:v>
      </x:c>
      <x:c r="L23" s="34" t="str"/>
      <x:c r="M23" s="12" t="str">
        <x:v>Snared 1</x:v>
      </x:c>
      <x:c r="N23" s="12" t="str">
        <x:v>Heavy, Brutal, Harvest, Payoff, WeakPoint</x:v>
      </x:c>
      <x:c r="O23" s="12" t="str">
        <x:v>Deal 8 damage and 3 break damage. If this breaks a weak point, resolve Snared 1 and the retreat rider.</x:v>
      </x:c>
      <x:c r="P23" s="12" t="str">
        <x:v>Deal 8 damage and 3 break damage. If the weak point breaks, apply Snared 1 and resolve: If used on a hunt node, also mark one gathered resource as confirmed.</x:v>
      </x:c>
      <x:c r="Q23" s="12" t="str"/>
      <x:c r="R23" s="12" t="str">
        <x:v>quirk: retreat | countsAsCounter False, firstCounterFree False</x:v>
      </x:c>
      <x:c r="S23" s="12" t="str">
        <x:v>a8dbb14eb9ec</x:v>
      </x:c>
      <x:c r="T23" s="12" t="n">
        <x:f>COUNTIF($S$2:$S$757,S23)</x:f>
        <x:v>1</x:v>
      </x:c>
      <x:c r="U23" s="12" t="str">
        <x:f>IF(T23=1,"OK","DUPLICATE")</x:f>
        <x:v>OK</x:v>
      </x:c>
    </x:row>
    <x:row r="24" ht="39.599998474121094" hidden="0" customHeight="1">
      <x:c r="A24" s="12" t="str">
        <x:v>Antelope Visage</x:v>
      </x:c>
      <x:c r="B24" s="12" t="str">
        <x:v>ANTELOPE MASK</x:v>
      </x:c>
      <x:c r="C24" s="12" t="str">
        <x:v>head</x:v>
      </x:c>
      <x:c r="D24" s="12" t="str">
        <x:v>charm</x:v>
      </x:c>
      <x:c r="E24" s="12" t="str">
        <x:v>mid</x:v>
      </x:c>
      <x:c r="F24" s="12" t="str">
        <x:v>uncommon</x:v>
      </x:c>
      <x:c r="G24" s="12" t="str">
        <x:v>Antelope Visage — Omen</x:v>
      </x:c>
      <x:c r="H24" s="34" t="n">
        <x:v>0</x:v>
      </x:c>
      <x:c r="I24" s="34" t="str">
        <x:v>skill</x:v>
      </x:c>
      <x:c r="J24" s="34" t="str"/>
      <x:c r="K24" s="34" t="str"/>
      <x:c r="L24" s="34" t="str"/>
      <x:c r="M24" s="12" t="str"/>
      <x:c r="N24" s="12" t="str">
        <x:v>Charm, Passive, Survival</x:v>
      </x:c>
      <x:c r="O24" s="12" t="str">
        <x:v>Peek at the next quarry card or weak-point reward. You may mark it; if you do, gain Panic 1.</x:v>
      </x:c>
      <x:c r="P24" s="12" t="str">
        <x:v>Peek at the next quarry AI, hit-location or weak-point reward, depending on screen. You may mark it. If marked, gain Panic 1. If you deal no HP damage, gain +2 break damage.</x:v>
      </x:c>
      <x:c r="Q24" s="12" t="str"/>
      <x:c r="R24" s="12" t="str">
        <x:v>quirk: careful</x:v>
      </x:c>
      <x:c r="S24" s="12" t="str">
        <x:v>8d622f9136f9</x:v>
      </x:c>
      <x:c r="T24" s="12" t="n">
        <x:f>COUNTIF($S$2:$S$757,S24)</x:f>
        <x:v>1</x:v>
      </x:c>
      <x:c r="U24" s="12" t="str">
        <x:f>IF(T24=1,"OK","DUPLICATE")</x:f>
        <x:v>OK</x:v>
      </x:c>
    </x:row>
    <x:row r="25" ht="39.599998474121094" hidden="0" customHeight="1">
      <x:c r="A25" s="12" t="str">
        <x:v>Antelope Visage</x:v>
      </x:c>
      <x:c r="B25" s="12" t="str">
        <x:v>ANTELOPE MASK</x:v>
      </x:c>
      <x:c r="C25" s="12" t="str">
        <x:v>head</x:v>
      </x:c>
      <x:c r="D25" s="12" t="str">
        <x:v>charm</x:v>
      </x:c>
      <x:c r="E25" s="12" t="str">
        <x:v>mid</x:v>
      </x:c>
      <x:c r="F25" s="12" t="str">
        <x:v>uncommon</x:v>
      </x:c>
      <x:c r="G25" s="12" t="str">
        <x:v>Antelope Visage — Glimmer</x:v>
      </x:c>
      <x:c r="H25" s="34" t="n">
        <x:v>0</x:v>
      </x:c>
      <x:c r="I25" s="34" t="str">
        <x:v>reaction</x:v>
      </x:c>
      <x:c r="J25" s="34" t="str"/>
      <x:c r="K25" s="34" t="str"/>
      <x:c r="L25" s="34" t="str"/>
      <x:c r="M25" s="12" t="str"/>
      <x:c r="N25" s="12" t="str">
        <x:v>Charm, Passive, Survival</x:v>
      </x:c>
      <x:c r="O25" s="12" t="str">
        <x:v>When Snared or a hunt consequence would affect you, reduce it by 3; exhaust this charm.</x:v>
      </x:c>
      <x:c r="P25" s="12" t="str">
        <x:v>When Snared, Panic, or a hunt consequence would affect this survivor, reduce it by 3; exhaust this charm until the next settlement phase. If you deal no HP damage, gain +2 break damage.</x:v>
      </x:c>
      <x:c r="Q25" s="12" t="str"/>
      <x:c r="R25" s="12" t="str">
        <x:v>quirk: careful</x:v>
      </x:c>
      <x:c r="S25" s="12" t="str">
        <x:v>45b6e3197458</x:v>
      </x:c>
      <x:c r="T25" s="12" t="n">
        <x:f>COUNTIF($S$2:$S$757,S25)</x:f>
        <x:v>1</x:v>
      </x:c>
      <x:c r="U25" s="12" t="str">
        <x:f>IF(T25=1,"OK","DUPLICATE")</x:f>
        <x:v>OK</x:v>
      </x:c>
    </x:row>
    <x:row r="26" ht="39.599998474121094" hidden="0" customHeight="1">
      <x:c r="A26" s="12" t="str">
        <x:v>Arc Bow</x:v>
      </x:c>
      <x:c r="B26" s="12" t="str">
        <x:v>ARC BOW</x:v>
      </x:c>
      <x:c r="C26" s="12" t="str">
        <x:v>weapon</x:v>
      </x:c>
      <x:c r="D26" s="12" t="str">
        <x:v>bow</x:v>
      </x:c>
      <x:c r="E26" s="12" t="str">
        <x:v>early</x:v>
      </x:c>
      <x:c r="F26" s="12" t="str">
        <x:v>common</x:v>
      </x:c>
      <x:c r="G26" s="12" t="str">
        <x:v>Arc Bow — Opening Strike</x:v>
      </x:c>
      <x:c r="H26" s="34" t="n">
        <x:v>1</x:v>
      </x:c>
      <x:c r="I26" s="34" t="str">
        <x:v>attack</x:v>
      </x:c>
      <x:c r="J26" s="34" t="n">
        <x:v>3</x:v>
      </x:c>
      <x:c r="K26" s="34" t="n">
        <x:v>3</x:v>
      </x:c>
      <x:c r="L26" s="34" t="str"/>
      <x:c r="M26" s="12" t="str">
        <x:v>Doom 3 | Target: Phoenix</x:v>
      </x:c>
      <x:c r="N26" s="12" t="str">
        <x:v>Ranged, Marking, Precise, Attack</x:v>
      </x:c>
      <x:c r="O26" s="12" t="str">
        <x:v>Deal 3 damage. Apply Doom 3 if the target has a Phoenix weak point, otherwise gain Marked 1.</x:v>
      </x:c>
      <x:c r="P26" s="12" t="str">
        <x:v>Deal 3 damage with Arc Bow. Apply Doom 3 against a matching Phoenix weak point; otherwise apply Marked 1. After use, Exhaust this equipment until the next monster turn.</x:v>
      </x:c>
      <x:c r="Q26" s="12" t="str"/>
      <x:c r="R26" s="12" t="str">
        <x:v>quirk: exhaust</x:v>
      </x:c>
      <x:c r="S26" s="12" t="str">
        <x:v>316dbc388fe2</x:v>
      </x:c>
      <x:c r="T26" s="12" t="n">
        <x:f>COUNTIF($S$2:$S$757,S26)</x:f>
        <x:v>1</x:v>
      </x:c>
      <x:c r="U26" s="12" t="str">
        <x:f>IF(T26=1,"OK","DUPLICATE")</x:f>
        <x:v>OK</x:v>
      </x:c>
    </x:row>
    <x:row r="27" ht="26.399999618530273" hidden="0" customHeight="1">
      <x:c r="A27" s="12" t="str">
        <x:v>Arc Bow</x:v>
      </x:c>
      <x:c r="B27" s="12" t="str">
        <x:v>ARC BOW</x:v>
      </x:c>
      <x:c r="C27" s="12" t="str">
        <x:v>weapon</x:v>
      </x:c>
      <x:c r="D27" s="12" t="str">
        <x:v>bow</x:v>
      </x:c>
      <x:c r="E27" s="12" t="str">
        <x:v>early</x:v>
      </x:c>
      <x:c r="F27" s="12" t="str">
        <x:v>common</x:v>
      </x:c>
      <x:c r="G27" s="12" t="str">
        <x:v>Arc Bow — Technique</x:v>
      </x:c>
      <x:c r="H27" s="34" t="n">
        <x:v>2</x:v>
      </x:c>
      <x:c r="I27" s="34" t="str">
        <x:v>skill</x:v>
      </x:c>
      <x:c r="J27" s="34" t="str"/>
      <x:c r="K27" s="34" t="str"/>
      <x:c r="L27" s="34" t="n">
        <x:v>3</x:v>
      </x:c>
      <x:c r="M27" s="12" t="str">
        <x:v>Opens: True</x:v>
      </x:c>
      <x:c r="N27" s="12" t="str">
        <x:v>Ranged, Marking, Precise, Setup</x:v>
      </x:c>
      <x:c r="O27" s="12" t="str">
        <x:v>Mark a wing, eye or distant weak point; ranged attacks ignore Guarded 1. Also gain 3 block.</x:v>
      </x:c>
      <x:c r="P27" s="12" t="str">
        <x:v>Mark a wing, eye or distant weak point; ranged attacks ignore Guarded 1. Gain 3 block. After use, Exhaust this equipment until the next monster turn.</x:v>
      </x:c>
      <x:c r="Q27" s="12" t="str"/>
      <x:c r="R27" s="12" t="str">
        <x:v>quirk: exhaust</x:v>
      </x:c>
      <x:c r="S27" s="12" t="str">
        <x:v>8cfd2f99ee84</x:v>
      </x:c>
      <x:c r="T27" s="12" t="n">
        <x:f>COUNTIF($S$2:$S$757,S27)</x:f>
        <x:v>1</x:v>
      </x:c>
      <x:c r="U27" s="12" t="str">
        <x:f>IF(T27=1,"OK","DUPLICATE")</x:f>
        <x:v>OK</x:v>
      </x:c>
    </x:row>
    <x:row r="28" ht="26.399999618530273" hidden="0" customHeight="1">
      <x:c r="A28" s="12" t="str">
        <x:v>Arc Bow</x:v>
      </x:c>
      <x:c r="B28" s="12" t="str">
        <x:v>ARC BOW</x:v>
      </x:c>
      <x:c r="C28" s="12" t="str">
        <x:v>weapon</x:v>
      </x:c>
      <x:c r="D28" s="12" t="str">
        <x:v>bow</x:v>
      </x:c>
      <x:c r="E28" s="12" t="str">
        <x:v>early</x:v>
      </x:c>
      <x:c r="F28" s="12" t="str">
        <x:v>common</x:v>
      </x:c>
      <x:c r="G28" s="12" t="str">
        <x:v>Arc Bow — Payoff</x:v>
      </x:c>
      <x:c r="H28" s="34" t="n">
        <x:v>2</x:v>
      </x:c>
      <x:c r="I28" s="34" t="str">
        <x:v>attack</x:v>
      </x:c>
      <x:c r="J28" s="34" t="n">
        <x:v>7</x:v>
      </x:c>
      <x:c r="K28" s="34" t="n">
        <x:v>4</x:v>
      </x:c>
      <x:c r="L28" s="34" t="str"/>
      <x:c r="M28" s="12" t="str">
        <x:v>Doom 2</x:v>
      </x:c>
      <x:c r="N28" s="12" t="str">
        <x:v>Ranged, Marking, Precise, Payoff, WeakPoint</x:v>
      </x:c>
      <x:c r="O28" s="12" t="str">
        <x:v>Deal 7 damage and 4 break damage. If this breaks a weak point, resolve Doom 2 and the exhaust rider.</x:v>
      </x:c>
      <x:c r="P28" s="12" t="str">
        <x:v>Deal 7 damage and 4 break damage. If the weak point breaks, apply Doom 2 and resolve: After use, Exhaust this equipment until the next monster turn.</x:v>
      </x:c>
      <x:c r="Q28" s="12" t="str"/>
      <x:c r="R28" s="12" t="str">
        <x:v>quirk: exhaust | countsAsCounter False, firstCounterFree False</x:v>
      </x:c>
      <x:c r="S28" s="12" t="str">
        <x:v>c7ebee9ec482</x:v>
      </x:c>
      <x:c r="T28" s="12" t="n">
        <x:f>COUNTIF($S$2:$S$757,S28)</x:f>
        <x:v>1</x:v>
      </x:c>
      <x:c r="U28" s="12" t="str">
        <x:f>IF(T28=1,"OK","DUPLICATE")</x:f>
        <x:v>OK</x:v>
      </x:c>
    </x:row>
    <x:row r="29" ht="39.599998474121094" hidden="0" customHeight="1">
      <x:c r="A29" s="12" t="str">
        <x:v>Armor Spikes</x:v>
      </x:c>
      <x:c r="B29" s="12" t="str">
        <x:v>ARMOR SPIKES</x:v>
      </x:c>
      <x:c r="C29" s="12" t="str">
        <x:v>body</x:v>
      </x:c>
      <x:c r="D29" s="12" t="str">
        <x:v>armor</x:v>
      </x:c>
      <x:c r="E29" s="12" t="str">
        <x:v>mid</x:v>
      </x:c>
      <x:c r="F29" s="12" t="str">
        <x:v>uncommon</x:v>
      </x:c>
      <x:c r="G29" s="12" t="str">
        <x:v>Armor Spikes — Brace</x:v>
      </x:c>
      <x:c r="H29" s="34" t="n">
        <x:v>1</x:v>
      </x:c>
      <x:c r="I29" s="34" t="str">
        <x:v>skill</x:v>
      </x:c>
      <x:c r="J29" s="34" t="str"/>
      <x:c r="K29" s="34" t="str"/>
      <x:c r="L29" s="34" t="n">
        <x:v>3</x:v>
      </x:c>
      <x:c r="M29" s="12" t="str"/>
      <x:c r="N29" s="12" t="str">
        <x:v>Defensive, Party, WoundCare</x:v>
      </x:c>
      <x:c r="O29" s="12" t="str">
        <x:v>Gain 3 block and Guarded 1. If hit before your next turn, reduce Poison or Panic by 1.</x:v>
      </x:c>
      <x:c r="P29" s="12" t="str">
        <x:v>Gain 3 block and Guarded 1. If the next monster hit lands before your next turn, reduce Poison or Panic by 1 after damage. If you play a third attack this round, gain Panic 1.</x:v>
      </x:c>
      <x:c r="Q29" s="12" t="str"/>
      <x:c r="R29" s="12" t="str">
        <x:v>quirk: frenzyCheck</x:v>
      </x:c>
      <x:c r="S29" s="12" t="str">
        <x:v>622efe579ef4</x:v>
      </x:c>
      <x:c r="T29" s="12" t="n">
        <x:f>COUNTIF($S$2:$S$757,S29)</x:f>
        <x:v>1</x:v>
      </x:c>
      <x:c r="U29" s="12" t="str">
        <x:f>IF(T29=1,"OK","DUPLICATE")</x:f>
        <x:v>OK</x:v>
      </x:c>
    </x:row>
    <x:row r="30" ht="26.399999618530273" hidden="0" customHeight="1">
      <x:c r="A30" s="12" t="str">
        <x:v>Armor Spikes</x:v>
      </x:c>
      <x:c r="B30" s="12" t="str">
        <x:v>ARMOR SPIKES</x:v>
      </x:c>
      <x:c r="C30" s="12" t="str">
        <x:v>body</x:v>
      </x:c>
      <x:c r="D30" s="12" t="str">
        <x:v>armor</x:v>
      </x:c>
      <x:c r="E30" s="12" t="str">
        <x:v>mid</x:v>
      </x:c>
      <x:c r="F30" s="12" t="str">
        <x:v>uncommon</x:v>
      </x:c>
      <x:c r="G30" s="12" t="str">
        <x:v>Armor Spikes — Fitted Plate</x:v>
      </x:c>
      <x:c r="H30" s="34" t="n">
        <x:v>1</x:v>
      </x:c>
      <x:c r="I30" s="34" t="str">
        <x:v>reaction</x:v>
      </x:c>
      <x:c r="J30" s="34" t="str"/>
      <x:c r="K30" s="34" t="str"/>
      <x:c r="L30" s="34" t="n">
        <x:v>4</x:v>
      </x:c>
      <x:c r="M30" s="12" t="str"/>
      <x:c r="N30" s="12" t="str">
        <x:v>Defensive, Party, WoundCare, Reaction</x:v>
      </x:c>
      <x:c r="O30" s="12" t="str">
        <x:v>After damage is previewed, prevent 4 damage. Then give the next ally Guarded 2.</x:v>
      </x:c>
      <x:c r="P30" s="12" t="str">
        <x:v>After incoming damage is previewed, prevent 4 damage with the body slot. Then the next ally gains Guarded 2. If you play a third attack this round, gain Panic 1.</x:v>
      </x:c>
      <x:c r="Q30" s="12" t="str"/>
      <x:c r="R30" s="12" t="str">
        <x:v>quirk: frenzyCheck</x:v>
      </x:c>
      <x:c r="S30" s="12" t="str">
        <x:v>537bd57e3829</x:v>
      </x:c>
      <x:c r="T30" s="12" t="n">
        <x:f>COUNTIF($S$2:$S$757,S30)</x:f>
        <x:v>1</x:v>
      </x:c>
      <x:c r="U30" s="12" t="str">
        <x:f>IF(T30=1,"OK","DUPLICATE")</x:f>
        <x:v>OK</x:v>
      </x:c>
    </x:row>
    <x:row r="31" ht="26.399999618530273" hidden="0" customHeight="1">
      <x:c r="A31" s="12" t="str">
        <x:v>Bandages</x:v>
      </x:c>
      <x:c r="B31" s="12" t="str">
        <x:v>BANDAGES</x:v>
      </x:c>
      <x:c r="C31" s="12" t="str">
        <x:v>tool</x:v>
      </x:c>
      <x:c r="D31" s="12" t="str">
        <x:v>bandage</x:v>
      </x:c>
      <x:c r="E31" s="12" t="str">
        <x:v>early</x:v>
      </x:c>
      <x:c r="F31" s="12" t="str">
        <x:v>common</x:v>
      </x:c>
      <x:c r="G31" s="12" t="str">
        <x:v>Bandages — Resonance</x:v>
      </x:c>
      <x:c r="H31" s="34" t="n">
        <x:v>1</x:v>
      </x:c>
      <x:c r="I31" s="34" t="str">
        <x:v>support</x:v>
      </x:c>
      <x:c r="J31" s="34" t="str"/>
      <x:c r="K31" s="34" t="str"/>
      <x:c r="L31" s="34" t="n">
        <x:v>3</x:v>
      </x:c>
      <x:c r="M31" s="12" t="str"/>
      <x:c r="N31" s="12" t="str">
        <x:v>WoundCare, Support, Party</x:v>
      </x:c>
      <x:c r="O31" s="12" t="str">
        <x:v>Chosen ally gains 3 block and Prepared 2. No Panic if used before the monster acts.</x:v>
      </x:c>
      <x:c r="P31" s="12" t="str">
        <x:v>Chosen ally gains 3 block and Prepared 2. If the phase is wrong for this item, also gain Panic 1. If the quarry is below half HP, add +1 break damage.</x:v>
      </x:c>
      <x:c r="Q31" s="12" t="str"/>
      <x:c r="R31" s="12" t="str">
        <x:v>quirk: bloodied</x:v>
      </x:c>
      <x:c r="S31" s="12" t="str">
        <x:v>efa062178d4b</x:v>
      </x:c>
      <x:c r="T31" s="12" t="n">
        <x:f>COUNTIF($S$2:$S$757,S31)</x:f>
        <x:v>1</x:v>
      </x:c>
      <x:c r="U31" s="12" t="str">
        <x:f>IF(T31=1,"OK","DUPLICATE")</x:f>
        <x:v>OK</x:v>
      </x:c>
    </x:row>
    <x:row r="32" ht="26.399999618530273" hidden="0" customHeight="1">
      <x:c r="A32" s="12" t="str">
        <x:v>Bandages</x:v>
      </x:c>
      <x:c r="B32" s="12" t="str">
        <x:v>BANDAGES</x:v>
      </x:c>
      <x:c r="C32" s="12" t="str">
        <x:v>tool</x:v>
      </x:c>
      <x:c r="D32" s="12" t="str">
        <x:v>bandage</x:v>
      </x:c>
      <x:c r="E32" s="12" t="str">
        <x:v>early</x:v>
      </x:c>
      <x:c r="F32" s="12" t="str">
        <x:v>common</x:v>
      </x:c>
      <x:c r="G32" s="12" t="str">
        <x:v>Bandages — Echo</x:v>
      </x:c>
      <x:c r="H32" s="34" t="n">
        <x:v>1</x:v>
      </x:c>
      <x:c r="I32" s="34" t="str">
        <x:v>reaction</x:v>
      </x:c>
      <x:c r="J32" s="34" t="str"/>
      <x:c r="K32" s="34" t="str"/>
      <x:c r="L32" s="34" t="str"/>
      <x:c r="M32" s="12" t="str"/>
      <x:c r="N32" s="12" t="str">
        <x:v>WoundCare, Support, Party</x:v>
      </x:c>
      <x:c r="O32" s="12" t="str">
        <x:v>After an ally breaks a weak point, give the next ally Guarded 1 or clear Panic 2.</x:v>
      </x:c>
      <x:c r="P32" s="12" t="str">
        <x:v>After an ally breaks a weak point or survives a hunt event, choose: next ally gains Guarded 1, or clear Panic 2. If the quarry is below half HP, add +1 break damage.</x:v>
      </x:c>
      <x:c r="Q32" s="12" t="str"/>
      <x:c r="R32" s="12" t="str">
        <x:v>quirk: bloodied</x:v>
      </x:c>
      <x:c r="S32" s="12" t="str">
        <x:v>1bf49528de98</x:v>
      </x:c>
      <x:c r="T32" s="12" t="n">
        <x:f>COUNTIF($S$2:$S$757,S32)</x:f>
        <x:v>1</x:v>
      </x:c>
      <x:c r="U32" s="12" t="str">
        <x:f>IF(T32=1,"OK","DUPLICATE")</x:f>
        <x:v>OK</x:v>
      </x:c>
    </x:row>
    <x:row r="33" ht="26.399999618530273" hidden="0" customHeight="1">
      <x:c r="A33" s="12" t="str">
        <x:v>Beacon Guard</x:v>
      </x:c>
      <x:c r="B33" s="12" t="str">
        <x:v>BEACON SHIELD</x:v>
      </x:c>
      <x:c r="C33" s="12" t="str">
        <x:v>offhand</x:v>
      </x:c>
      <x:c r="D33" s="12" t="str">
        <x:v>shield</x:v>
      </x:c>
      <x:c r="E33" s="12" t="str">
        <x:v>early</x:v>
      </x:c>
      <x:c r="F33" s="12" t="str">
        <x:v>uncommon</x:v>
      </x:c>
      <x:c r="G33" s="12" t="str">
        <x:v>Beacon Guard — Shield Wall</x:v>
      </x:c>
      <x:c r="H33" s="34" t="n">
        <x:v>1</x:v>
      </x:c>
      <x:c r="I33" s="34" t="str">
        <x:v>skill</x:v>
      </x:c>
      <x:c r="J33" s="34" t="str"/>
      <x:c r="K33" s="34" t="str"/>
      <x:c r="L33" s="34" t="n">
        <x:v>5</x:v>
      </x:c>
      <x:c r="M33" s="12" t="str"/>
      <x:c r="N33" s="12" t="str">
        <x:v>Defensive, Counter, Party</x:v>
      </x:c>
      <x:c r="O33" s="12" t="str">
        <x:v>Gain 5 block and give chosen ally Guarded 1. The first Counter from this equipment this battle costs 0.</x:v>
      </x:c>
      <x:c r="P33" s="12" t="str">
        <x:v>Gain 5 block and give chosen ally Guarded 1. Set firstCounterReady for this equipment if unused. Chosen ally gains Guarded 1 after this resolves.</x:v>
      </x:c>
      <x:c r="Q33" s="12" t="str"/>
      <x:c r="R33" s="12" t="str">
        <x:v>quirk: ally | grantsFirstCounterFree True</x:v>
      </x:c>
      <x:c r="S33" s="12" t="str">
        <x:v>97a64f44a222</x:v>
      </x:c>
      <x:c r="T33" s="12" t="n">
        <x:f>COUNTIF($S$2:$S$757,S33)</x:f>
        <x:v>1</x:v>
      </x:c>
      <x:c r="U33" s="12" t="str">
        <x:f>IF(T33=1,"OK","DUPLICATE")</x:f>
        <x:v>OK</x:v>
      </x:c>
    </x:row>
    <x:row r="34" ht="39.599998474121094" hidden="0" customHeight="1">
      <x:c r="A34" s="12" t="str">
        <x:v>Beacon Guard</x:v>
      </x:c>
      <x:c r="B34" s="12" t="str">
        <x:v>BEACON SHIELD</x:v>
      </x:c>
      <x:c r="C34" s="12" t="str">
        <x:v>offhand</x:v>
      </x:c>
      <x:c r="D34" s="12" t="str">
        <x:v>shield</x:v>
      </x:c>
      <x:c r="E34" s="12" t="str">
        <x:v>early</x:v>
      </x:c>
      <x:c r="F34" s="12" t="str">
        <x:v>uncommon</x:v>
      </x:c>
      <x:c r="G34" s="12" t="str">
        <x:v>Beacon Guard — Answering Bash</x:v>
      </x:c>
      <x:c r="H34" s="34" t="n">
        <x:v>1</x:v>
      </x:c>
      <x:c r="I34" s="34" t="str">
        <x:v>reaction</x:v>
      </x:c>
      <x:c r="J34" s="34" t="n">
        <x:v>4</x:v>
      </x:c>
      <x:c r="K34" s="34" t="str"/>
      <x:c r="L34" s="34" t="n">
        <x:v>0</x:v>
      </x:c>
      <x:c r="M34" s="12" t="str"/>
      <x:c r="N34" s="12" t="str">
        <x:v>Defensive, Counter, Party</x:v>
      </x:c>
      <x:c r="O34" s="12" t="str">
        <x:v>Counter for 4 damage after blocking. Costs 0 if it is this equipment’s first Counter of the battle.</x:v>
      </x:c>
      <x:c r="P34" s="12" t="str">
        <x:v>After this survivor blocks or prevents damage, Counter for 4 damage. If firstCounterUsed[beaconGuard] is false this battle, pay 0 and then set it true. Chosen ally gains Guarded 1 after this resolves.</x:v>
      </x:c>
      <x:c r="Q34" s="12" t="str">
        <x:v>YES</x:v>
      </x:c>
      <x:c r="R34" s="12" t="str">
        <x:v>quirk: ally | countsAsCounter True, firstCounterFree True, counterFreeScope perBattlePerEquipment</x:v>
      </x:c>
      <x:c r="S34" s="12" t="str">
        <x:v>fd9b7dc3fa04</x:v>
      </x:c>
      <x:c r="T34" s="12" t="n">
        <x:f>COUNTIF($S$2:$S$757,S34)</x:f>
        <x:v>1</x:v>
      </x:c>
      <x:c r="U34" s="12" t="str">
        <x:f>IF(T34=1,"OK","DUPLICATE")</x:f>
        <x:v>OK</x:v>
      </x:c>
    </x:row>
    <x:row r="35" ht="39.599998474121094" hidden="0" customHeight="1">
      <x:c r="A35" s="12" t="str">
        <x:v>Beast Knuckle</x:v>
      </x:c>
      <x:c r="B35" s="12" t="str">
        <x:v>BEAST KNUCKLE</x:v>
      </x:c>
      <x:c r="C35" s="12" t="str">
        <x:v>weapon</x:v>
      </x:c>
      <x:c r="D35" s="12" t="str">
        <x:v>fistAndTooth</x:v>
      </x:c>
      <x:c r="E35" s="12" t="str">
        <x:v>early</x:v>
      </x:c>
      <x:c r="F35" s="12" t="str">
        <x:v>common</x:v>
      </x:c>
      <x:c r="G35" s="12" t="str">
        <x:v>Beast Knuckle — Opening Strike</x:v>
      </x:c>
      <x:c r="H35" s="34" t="n">
        <x:v>0</x:v>
      </x:c>
      <x:c r="I35" s="34" t="str">
        <x:v>attack</x:v>
      </x:c>
      <x:c r="J35" s="34" t="n">
        <x:v>3</x:v>
      </x:c>
      <x:c r="K35" s="34" t="n">
        <x:v>0</x:v>
      </x:c>
      <x:c r="L35" s="34" t="str"/>
      <x:c r="M35" s="12" t="str">
        <x:v>Bleed 1 | Target: Screaming Antelope</x:v>
      </x:c>
      <x:c r="N35" s="12" t="str">
        <x:v>Counter, Survival, Wound, Attack</x:v>
      </x:c>
      <x:c r="O35" s="12" t="str">
        <x:v>Deal 3 damage. Apply Bleed 1 if the target has a Screaming Antelope weak point, otherwise gain Marked 1.</x:v>
      </x:c>
      <x:c r="P35" s="12" t="str">
        <x:v>Deal 3 damage with Beast Knuckle. Apply Bleed 1 against a matching Screaming Antelope weak point; otherwise apply Marked 1. If you play a third attack this round, gain Panic 1.</x:v>
      </x:c>
      <x:c r="Q35" s="12" t="str"/>
      <x:c r="R35" s="12" t="str">
        <x:v>quirk: frenzyCheck</x:v>
      </x:c>
      <x:c r="S35" s="12" t="str">
        <x:v>164ff3ffa1d6</x:v>
      </x:c>
      <x:c r="T35" s="12" t="n">
        <x:f>COUNTIF($S$2:$S$757,S35)</x:f>
        <x:v>1</x:v>
      </x:c>
      <x:c r="U35" s="12" t="str">
        <x:f>IF(T35=1,"OK","DUPLICATE")</x:f>
        <x:v>OK</x:v>
      </x:c>
    </x:row>
    <x:row r="36" ht="26.399999618530273" hidden="0" customHeight="1">
      <x:c r="A36" s="12" t="str">
        <x:v>Beast Knuckle</x:v>
      </x:c>
      <x:c r="B36" s="12" t="str">
        <x:v>BEAST KNUCKLE</x:v>
      </x:c>
      <x:c r="C36" s="12" t="str">
        <x:v>weapon</x:v>
      </x:c>
      <x:c r="D36" s="12" t="str">
        <x:v>fistAndTooth</x:v>
      </x:c>
      <x:c r="E36" s="12" t="str">
        <x:v>early</x:v>
      </x:c>
      <x:c r="F36" s="12" t="str">
        <x:v>common</x:v>
      </x:c>
      <x:c r="G36" s="12" t="str">
        <x:v>Beast Knuckle — Technique</x:v>
      </x:c>
      <x:c r="H36" s="34" t="n">
        <x:v>2</x:v>
      </x:c>
      <x:c r="I36" s="34" t="str">
        <x:v>skill</x:v>
      </x:c>
      <x:c r="J36" s="34" t="str"/>
      <x:c r="K36" s="34" t="str"/>
      <x:c r="L36" s="34" t="n">
        <x:v>1</x:v>
      </x:c>
      <x:c r="M36" s="12" t="str">
        <x:v>Opens: True</x:v>
      </x:c>
      <x:c r="N36" s="12" t="str">
        <x:v>Counter, Survival, Wound, Setup</x:v>
      </x:c>
      <x:c r="O36" s="12" t="str">
        <x:v>Bait a close strike; after blocking, Counter with +2 damage. Also gain 1 block.</x:v>
      </x:c>
      <x:c r="P36" s="12" t="str">
        <x:v>Bait a close strike; after blocking, Counter with +2 damage. Gain 1 block. If you play a third attack this round, gain Panic 1.</x:v>
      </x:c>
      <x:c r="Q36" s="12" t="str">
        <x:v>YES</x:v>
      </x:c>
      <x:c r="R36" s="12" t="str">
        <x:v>quirk: frenzyCheck</x:v>
      </x:c>
      <x:c r="S36" s="12" t="str">
        <x:v>c044ac5f3b8d</x:v>
      </x:c>
      <x:c r="T36" s="12" t="n">
        <x:f>COUNTIF($S$2:$S$757,S36)</x:f>
        <x:v>1</x:v>
      </x:c>
      <x:c r="U36" s="12" t="str">
        <x:f>IF(T36=1,"OK","DUPLICATE")</x:f>
        <x:v>OK</x:v>
      </x:c>
    </x:row>
    <x:row r="37" ht="26.399999618530273" hidden="0" customHeight="1">
      <x:c r="A37" s="12" t="str">
        <x:v>Beast Knuckle</x:v>
      </x:c>
      <x:c r="B37" s="12" t="str">
        <x:v>BEAST KNUCKLE</x:v>
      </x:c>
      <x:c r="C37" s="12" t="str">
        <x:v>weapon</x:v>
      </x:c>
      <x:c r="D37" s="12" t="str">
        <x:v>fistAndTooth</x:v>
      </x:c>
      <x:c r="E37" s="12" t="str">
        <x:v>early</x:v>
      </x:c>
      <x:c r="F37" s="12" t="str">
        <x:v>common</x:v>
      </x:c>
      <x:c r="G37" s="12" t="str">
        <x:v>Beast Knuckle — Payoff</x:v>
      </x:c>
      <x:c r="H37" s="34" t="n">
        <x:v>2</x:v>
      </x:c>
      <x:c r="I37" s="34" t="str">
        <x:v>reaction</x:v>
      </x:c>
      <x:c r="J37" s="34" t="n">
        <x:v>7</x:v>
      </x:c>
      <x:c r="K37" s="34" t="n">
        <x:v>1</x:v>
      </x:c>
      <x:c r="L37" s="34" t="str"/>
      <x:c r="M37" s="12" t="str">
        <x:v>Bleed 1</x:v>
      </x:c>
      <x:c r="N37" s="12" t="str">
        <x:v>Counter, Survival, Wound, Payoff, WeakPoint</x:v>
      </x:c>
      <x:c r="O37" s="12" t="str">
        <x:v>Deal 7 damage and 1 break damage. If this breaks a weak point, resolve Bleed 1 and the frenzyCheck rider.</x:v>
      </x:c>
      <x:c r="P37" s="12" t="str">
        <x:v>Deal 7 damage and 1 break damage. If the weak point breaks, apply Bleed 1 and resolve: If you play a third attack this round, gain Panic 1.</x:v>
      </x:c>
      <x:c r="Q37" s="12" t="str">
        <x:v>YES</x:v>
      </x:c>
      <x:c r="R37" s="12" t="str">
        <x:v>quirk: frenzyCheck | countsAsCounter True, firstCounterFree True</x:v>
      </x:c>
      <x:c r="S37" s="12" t="str">
        <x:v>04950dbfb801</x:v>
      </x:c>
      <x:c r="T37" s="12" t="n">
        <x:f>COUNTIF($S$2:$S$757,S37)</x:f>
        <x:v>1</x:v>
      </x:c>
      <x:c r="U37" s="12" t="str">
        <x:f>IF(T37=1,"OK","DUPLICATE")</x:f>
        <x:v>OK</x:v>
      </x:c>
    </x:row>
    <x:row r="38" ht="39.599998474121094" hidden="0" customHeight="1">
      <x:c r="A38" s="12" t="str">
        <x:v>Beetugle (Hunt Phase)</x:v>
      </x:c>
      <x:c r="B38" s="12" t="str">
        <x:v>BEETUGLE (HUNT PHASE)</x:v>
      </x:c>
      <x:c r="C38" s="12" t="str">
        <x:v>tool</x:v>
      </x:c>
      <x:c r="D38" s="12" t="str">
        <x:v>tool</x:v>
      </x:c>
      <x:c r="E38" s="12" t="str">
        <x:v>early</x:v>
      </x:c>
      <x:c r="F38" s="12" t="str">
        <x:v>uncommon</x:v>
      </x:c>
      <x:c r="G38" s="12" t="str">
        <x:v>Beetugle (Hunt Phase) — Use</x:v>
      </x:c>
      <x:c r="H38" s="34" t="n">
        <x:v>0</x:v>
      </x:c>
      <x:c r="I38" s="34" t="str">
        <x:v>skill</x:v>
      </x:c>
      <x:c r="J38" s="34" t="str"/>
      <x:c r="K38" s="34" t="str"/>
      <x:c r="L38" s="34" t="str"/>
      <x:c r="M38" s="12" t="str">
        <x:v>Exposed 1</x:v>
      </x:c>
      <x:c r="N38" s="12" t="str">
        <x:v>Tool, Harvest, Retreat</x:v>
      </x:c>
      <x:c r="O38" s="12" t="str">
        <x:v>Gain +2 to the next harvest, retreat, or weak-point test. If it fails, apply Exposed 1 to the quarry or clear it from a survivor.</x:v>
      </x:c>
      <x:c r="P38" s="12" t="str">
        <x:v>Gain +2 to the next harvest, retreat, or weak-point test linked to Hunting Hall. On failure, either apply Exposed 1 to the quarry or clear that status from a survivor. If you have any wound, add +1 damage but gain Panic 1.</x:v>
      </x:c>
      <x:c r="Q38" s="12" t="str"/>
      <x:c r="R38" s="12" t="str">
        <x:v>quirk: wounded</x:v>
      </x:c>
      <x:c r="S38" s="12" t="str">
        <x:v>e3954d2c6411</x:v>
      </x:c>
      <x:c r="T38" s="12" t="n">
        <x:f>COUNTIF($S$2:$S$757,S38)</x:f>
        <x:v>1</x:v>
      </x:c>
      <x:c r="U38" s="12" t="str">
        <x:f>IF(T38=1,"OK","DUPLICATE")</x:f>
        <x:v>OK</x:v>
      </x:c>
    </x:row>
    <x:row r="39" ht="39.599998474121094" hidden="0" customHeight="1">
      <x:c r="A39" s="12" t="str">
        <x:v>Beetugle (Hunt Phase)</x:v>
      </x:c>
      <x:c r="B39" s="12" t="str">
        <x:v>BEETUGLE (HUNT PHASE)</x:v>
      </x:c>
      <x:c r="C39" s="12" t="str">
        <x:v>tool</x:v>
      </x:c>
      <x:c r="D39" s="12" t="str">
        <x:v>tool</x:v>
      </x:c>
      <x:c r="E39" s="12" t="str">
        <x:v>early</x:v>
      </x:c>
      <x:c r="F39" s="12" t="str">
        <x:v>uncommon</x:v>
      </x:c>
      <x:c r="G39" s="12" t="str">
        <x:v>Beetugle (Hunt Phase) — Contingency</x:v>
      </x:c>
      <x:c r="H39" s="34" t="n">
        <x:v>0</x:v>
      </x:c>
      <x:c r="I39" s="34" t="str">
        <x:v>reaction</x:v>
      </x:c>
      <x:c r="J39" s="34" t="str"/>
      <x:c r="K39" s="34" t="str"/>
      <x:c r="L39" s="34" t="str"/>
      <x:c r="M39" s="12" t="str"/>
      <x:c r="N39" s="12" t="str">
        <x:v>Tool, Harvest, Retreat</x:v>
      </x:c>
      <x:c r="O39" s="12" t="str">
        <x:v>When a hunt or monster consequence is previewed, reduce it by 2; on retreat, preserve 1 gathered resource.</x:v>
      </x:c>
      <x:c r="P39" s="12" t="str">
        <x:v>When a hunt event, retreat roll, or monster consequence is previewed, reduce the penalty by 2. If retreating, preserve 1 gathered resource. If you have any wound, add +1 damage but gain Panic 1.</x:v>
      </x:c>
      <x:c r="Q39" s="12" t="str"/>
      <x:c r="R39" s="12" t="str">
        <x:v>quirk: wounded</x:v>
      </x:c>
      <x:c r="S39" s="12" t="str">
        <x:v>261ea05dbe57</x:v>
      </x:c>
      <x:c r="T39" s="12" t="n">
        <x:f>COUNTIF($S$2:$S$757,S39)</x:f>
        <x:v>1</x:v>
      </x:c>
      <x:c r="U39" s="12" t="str">
        <x:f>IF(T39=1,"OK","DUPLICATE")</x:f>
        <x:v>OK</x:v>
      </x:c>
    </x:row>
    <x:row r="40" ht="52.79999923706055" hidden="0" customHeight="1">
      <x:c r="A40" s="12" t="str">
        <x:v>Beetugle (Showdown Phase)</x:v>
      </x:c>
      <x:c r="B40" s="12" t="str">
        <x:v>BEETUGLE (SHOWDOWN PHASE)</x:v>
      </x:c>
      <x:c r="C40" s="12" t="str">
        <x:v>tool</x:v>
      </x:c>
      <x:c r="D40" s="12" t="str">
        <x:v>tool</x:v>
      </x:c>
      <x:c r="E40" s="12" t="str">
        <x:v>early</x:v>
      </x:c>
      <x:c r="F40" s="12" t="str">
        <x:v>uncommon</x:v>
      </x:c>
      <x:c r="G40" s="12" t="str">
        <x:v>Beetugle (Showdown Phase) — Use</x:v>
      </x:c>
      <x:c r="H40" s="34" t="n">
        <x:v>1</x:v>
      </x:c>
      <x:c r="I40" s="34" t="str">
        <x:v>skill</x:v>
      </x:c>
      <x:c r="J40" s="34" t="str"/>
      <x:c r="K40" s="34" t="str"/>
      <x:c r="L40" s="34" t="str"/>
      <x:c r="M40" s="12" t="str">
        <x:v>Marked 2</x:v>
      </x:c>
      <x:c r="N40" s="12" t="str">
        <x:v>Tool, Harvest, Retreat</x:v>
      </x:c>
      <x:c r="O40" s="12" t="str">
        <x:v>Gain +3 to the next harvest, retreat, or weak-point test. If it fails, apply Marked 2 to the quarry or clear it from a survivor.</x:v>
      </x:c>
      <x:c r="P40" s="12" t="str">
        <x:v>Gain +3 to the next harvest, retreat, or weak-point test linked to Hunting Hall. On failure, either apply Marked 2 to the quarry or clear that status from a survivor. If this breaks a weak point, improve harvest quality by one step unless it is already Clean.</x:v>
      </x:c>
      <x:c r="Q40" s="12" t="str"/>
      <x:c r="R40" s="12" t="str">
        <x:v>quirk: harvest</x:v>
      </x:c>
      <x:c r="S40" s="12" t="str">
        <x:v>d12d72cbe68a</x:v>
      </x:c>
      <x:c r="T40" s="12" t="n">
        <x:f>COUNTIF($S$2:$S$757,S40)</x:f>
        <x:v>1</x:v>
      </x:c>
      <x:c r="U40" s="12" t="str">
        <x:f>IF(T40=1,"OK","DUPLICATE")</x:f>
        <x:v>OK</x:v>
      </x:c>
    </x:row>
    <x:row r="41" ht="39.599998474121094" hidden="0" customHeight="1">
      <x:c r="A41" s="12" t="str">
        <x:v>Beetugle (Showdown Phase)</x:v>
      </x:c>
      <x:c r="B41" s="12" t="str">
        <x:v>BEETUGLE (SHOWDOWN PHASE)</x:v>
      </x:c>
      <x:c r="C41" s="12" t="str">
        <x:v>tool</x:v>
      </x:c>
      <x:c r="D41" s="12" t="str">
        <x:v>tool</x:v>
      </x:c>
      <x:c r="E41" s="12" t="str">
        <x:v>early</x:v>
      </x:c>
      <x:c r="F41" s="12" t="str">
        <x:v>uncommon</x:v>
      </x:c>
      <x:c r="G41" s="12" t="str">
        <x:v>Beetugle (Showdown Phase) — Contingency</x:v>
      </x:c>
      <x:c r="H41" s="34" t="n">
        <x:v>1</x:v>
      </x:c>
      <x:c r="I41" s="34" t="str">
        <x:v>reaction</x:v>
      </x:c>
      <x:c r="J41" s="34" t="str"/>
      <x:c r="K41" s="34" t="str"/>
      <x:c r="L41" s="34" t="str"/>
      <x:c r="M41" s="12" t="str"/>
      <x:c r="N41" s="12" t="str">
        <x:v>Tool, Harvest, Retreat</x:v>
      </x:c>
      <x:c r="O41" s="12" t="str">
        <x:v>When a hunt or monster consequence is previewed, reduce it by 3; on retreat, preserve 2 gathered resource.</x:v>
      </x:c>
      <x:c r="P41" s="12" t="str">
        <x:v>When a hunt event, retreat roll, or monster consequence is previewed, reduce the penalty by 3. If retreating, preserve 2 gathered resource. If this breaks a weak point, improve harvest quality by one step unless it is already Clean.</x:v>
      </x:c>
      <x:c r="Q41" s="12" t="str"/>
      <x:c r="R41" s="12" t="str">
        <x:v>quirk: harvest</x:v>
      </x:c>
      <x:c r="S41" s="12" t="str">
        <x:v>349dc8361b3b</x:v>
      </x:c>
      <x:c r="T41" s="12" t="n">
        <x:f>COUNTIF($S$2:$S$757,S41)</x:f>
        <x:v>1</x:v>
      </x:c>
      <x:c r="U41" s="12" t="str">
        <x:f>IF(T41=1,"OK","DUPLICATE")</x:f>
        <x:v>OK</x:v>
      </x:c>
    </x:row>
    <x:row r="42" ht="39.599998474121094" hidden="0" customHeight="1">
      <x:c r="A42" s="12" t="str">
        <x:v>Bird Bread</x:v>
      </x:c>
      <x:c r="B42" s="12" t="str">
        <x:v>BIRD BREAD</x:v>
      </x:c>
      <x:c r="C42" s="12" t="str">
        <x:v>tool</x:v>
      </x:c>
      <x:c r="D42" s="12" t="str">
        <x:v>tool</x:v>
      </x:c>
      <x:c r="E42" s="12" t="str">
        <x:v>early</x:v>
      </x:c>
      <x:c r="F42" s="12" t="str">
        <x:v>common</x:v>
      </x:c>
      <x:c r="G42" s="12" t="str">
        <x:v>Bird Bread — Use</x:v>
      </x:c>
      <x:c r="H42" s="34" t="n">
        <x:v>0</x:v>
      </x:c>
      <x:c r="I42" s="34" t="str">
        <x:v>skill</x:v>
      </x:c>
      <x:c r="J42" s="34" t="str"/>
      <x:c r="K42" s="34" t="str"/>
      <x:c r="L42" s="34" t="str"/>
      <x:c r="M42" s="12" t="str">
        <x:v>Doom 1</x:v>
      </x:c>
      <x:c r="N42" s="12" t="str">
        <x:v>Tool, Harvest, Retreat</x:v>
      </x:c>
      <x:c r="O42" s="12" t="str">
        <x:v>Gain +1 to the next harvest, retreat, or weak-point test. If it fails, apply Doom 1 to the quarry or clear it from a survivor.</x:v>
      </x:c>
      <x:c r="P42" s="12" t="str">
        <x:v>Gain +1 to the next harvest, retreat, or weak-point test linked to Plumery. On failure, either apply Doom 1 to the quarry or clear that status from a survivor. You may gain Panic 1 to increase the listed number by 2.</x:v>
      </x:c>
      <x:c r="Q42" s="12" t="str"/>
      <x:c r="R42" s="12" t="str">
        <x:v>quirk: panicBrake</x:v>
      </x:c>
      <x:c r="S42" s="12" t="str">
        <x:v>6e6bf4018cb8</x:v>
      </x:c>
      <x:c r="T42" s="12" t="n">
        <x:f>COUNTIF($S$2:$S$757,S42)</x:f>
        <x:v>1</x:v>
      </x:c>
      <x:c r="U42" s="12" t="str">
        <x:f>IF(T42=1,"OK","DUPLICATE")</x:f>
        <x:v>OK</x:v>
      </x:c>
    </x:row>
    <x:row r="43" ht="39.599998474121094" hidden="0" customHeight="1">
      <x:c r="A43" s="12" t="str">
        <x:v>Bird Bread</x:v>
      </x:c>
      <x:c r="B43" s="12" t="str">
        <x:v>BIRD BREAD</x:v>
      </x:c>
      <x:c r="C43" s="12" t="str">
        <x:v>tool</x:v>
      </x:c>
      <x:c r="D43" s="12" t="str">
        <x:v>tool</x:v>
      </x:c>
      <x:c r="E43" s="12" t="str">
        <x:v>early</x:v>
      </x:c>
      <x:c r="F43" s="12" t="str">
        <x:v>common</x:v>
      </x:c>
      <x:c r="G43" s="12" t="str">
        <x:v>Bird Bread — Contingency</x:v>
      </x:c>
      <x:c r="H43" s="34" t="n">
        <x:v>1</x:v>
      </x:c>
      <x:c r="I43" s="34" t="str">
        <x:v>reaction</x:v>
      </x:c>
      <x:c r="J43" s="34" t="str"/>
      <x:c r="K43" s="34" t="str"/>
      <x:c r="L43" s="34" t="str"/>
      <x:c r="M43" s="12" t="str"/>
      <x:c r="N43" s="12" t="str">
        <x:v>Tool, Harvest, Retreat</x:v>
      </x:c>
      <x:c r="O43" s="12" t="str">
        <x:v>When a hunt or monster consequence is previewed, reduce it by 1; on retreat, preserve 1 gathered resource.</x:v>
      </x:c>
      <x:c r="P43" s="12" t="str">
        <x:v>When a hunt event, retreat roll, or monster consequence is previewed, reduce the penalty by 1. If retreating, preserve 1 gathered resource. You may gain Panic 1 to increase the listed number by 2.</x:v>
      </x:c>
      <x:c r="Q43" s="12" t="str"/>
      <x:c r="R43" s="12" t="str">
        <x:v>quirk: panicBrake</x:v>
      </x:c>
      <x:c r="S43" s="12" t="str">
        <x:v>c3ee6e76f060</x:v>
      </x:c>
      <x:c r="T43" s="12" t="n">
        <x:f>COUNTIF($S$2:$S$757,S43)</x:f>
        <x:v>1</x:v>
      </x:c>
      <x:c r="U43" s="12" t="str">
        <x:f>IF(T43=1,"OK","DUPLICATE")</x:f>
        <x:v>OK</x:v>
      </x:c>
    </x:row>
    <x:row r="44" ht="39.599998474121094" hidden="0" customHeight="1">
      <x:c r="A44" s="12" t="str">
        <x:v>Dusk Hunter Armor Set</x:v>
      </x:c>
      <x:c r="B44" s="12" t="str">
        <x:v>BLACK LION ARMOR SET</x:v>
      </x:c>
      <x:c r="C44" s="12" t="str">
        <x:v>set</x:v>
      </x:c>
      <x:c r="D44" s="12" t="str">
        <x:v>armor</x:v>
      </x:c>
      <x:c r="E44" s="12" t="str">
        <x:v>early</x:v>
      </x:c>
      <x:c r="F44" s="12" t="str">
        <x:v>uncommon</x:v>
      </x:c>
      <x:c r="G44" s="12" t="str">
        <x:v>Dusk Hunter Armor Set — Brace</x:v>
      </x:c>
      <x:c r="H44" s="34" t="n">
        <x:v>1</x:v>
      </x:c>
      <x:c r="I44" s="34" t="str">
        <x:v>skill</x:v>
      </x:c>
      <x:c r="J44" s="34" t="str"/>
      <x:c r="K44" s="34" t="str"/>
      <x:c r="L44" s="34" t="n">
        <x:v>5</x:v>
      </x:c>
      <x:c r="M44" s="12" t="str"/>
      <x:c r="N44" s="12" t="str">
        <x:v>Defensive, Party, WoundCare</x:v>
      </x:c>
      <x:c r="O44" s="12" t="str">
        <x:v>Gain 5 block and Guarded 2. If hit before your next turn, reduce Bleed or Panic by 1.</x:v>
      </x:c>
      <x:c r="P44" s="12" t="str">
        <x:v>Gain 5 block and Guarded 2. If the next monster hit lands before your next turn, reduce Bleed or Panic by 1 after damage. If the quarry is below half HP, add +1 break damage.</x:v>
      </x:c>
      <x:c r="Q44" s="12" t="str"/>
      <x:c r="R44" s="12" t="str">
        <x:v>quirk: bloodied</x:v>
      </x:c>
      <x:c r="S44" s="12" t="str">
        <x:v>99ee656295b1</x:v>
      </x:c>
      <x:c r="T44" s="12" t="n">
        <x:f>COUNTIF($S$2:$S$757,S44)</x:f>
        <x:v>1</x:v>
      </x:c>
      <x:c r="U44" s="12" t="str">
        <x:f>IF(T44=1,"OK","DUPLICATE")</x:f>
        <x:v>OK</x:v>
      </x:c>
    </x:row>
    <x:row r="45" ht="26.399999618530273" hidden="0" customHeight="1">
      <x:c r="A45" s="12" t="str">
        <x:v>Dusk Hunter Armor Set</x:v>
      </x:c>
      <x:c r="B45" s="12" t="str">
        <x:v>BLACK LION ARMOR SET</x:v>
      </x:c>
      <x:c r="C45" s="12" t="str">
        <x:v>set</x:v>
      </x:c>
      <x:c r="D45" s="12" t="str">
        <x:v>armor</x:v>
      </x:c>
      <x:c r="E45" s="12" t="str">
        <x:v>early</x:v>
      </x:c>
      <x:c r="F45" s="12" t="str">
        <x:v>uncommon</x:v>
      </x:c>
      <x:c r="G45" s="12" t="str">
        <x:v>Dusk Hunter Armor Set — Setline</x:v>
      </x:c>
      <x:c r="H45" s="34" t="n">
        <x:v>2</x:v>
      </x:c>
      <x:c r="I45" s="34" t="str">
        <x:v>reaction</x:v>
      </x:c>
      <x:c r="J45" s="34" t="str"/>
      <x:c r="K45" s="34" t="str"/>
      <x:c r="L45" s="34" t="n">
        <x:v>7</x:v>
      </x:c>
      <x:c r="M45" s="12" t="str"/>
      <x:c r="N45" s="12" t="str">
        <x:v>Defensive, Party, WoundCare, Reaction</x:v>
      </x:c>
      <x:c r="O45" s="12" t="str">
        <x:v>After damage is previewed, prevent 7 damage. Then give the next ally Guarded 1.</x:v>
      </x:c>
      <x:c r="P45" s="12" t="str">
        <x:v>After incoming damage is previewed, prevent 7 damage with the set slot. Then the next ally gains Guarded 1. If the quarry is below half HP, add +1 break damage.</x:v>
      </x:c>
      <x:c r="Q45" s="12" t="str"/>
      <x:c r="R45" s="12" t="str">
        <x:v>quirk: bloodied</x:v>
      </x:c>
      <x:c r="S45" s="12" t="str">
        <x:v>3d8440a37e9b</x:v>
      </x:c>
      <x:c r="T45" s="12" t="n">
        <x:f>COUNTIF($S$2:$S$757,S45)</x:f>
        <x:v>1</x:v>
      </x:c>
      <x:c r="U45" s="12" t="str">
        <x:f>IF(T45=1,"OK","DUPLICATE")</x:f>
        <x:v>OK</x:v>
      </x:c>
    </x:row>
    <x:row r="46" ht="39.599998474121094" hidden="0" customHeight="1">
      <x:c r="A46" s="12" t="str">
        <x:v>Black Blade</x:v>
      </x:c>
      <x:c r="B46" s="12" t="str">
        <x:v>BLACK SWORD</x:v>
      </x:c>
      <x:c r="C46" s="12" t="str">
        <x:v>weapon</x:v>
      </x:c>
      <x:c r="D46" s="12" t="str">
        <x:v>sword</x:v>
      </x:c>
      <x:c r="E46" s="12" t="str">
        <x:v>mid</x:v>
      </x:c>
      <x:c r="F46" s="12" t="str">
        <x:v>rare</x:v>
      </x:c>
      <x:c r="G46" s="12" t="str">
        <x:v>Black Blade — Opening Cut</x:v>
      </x:c>
      <x:c r="H46" s="34" t="n">
        <x:v>1</x:v>
      </x:c>
      <x:c r="I46" s="34" t="str">
        <x:v>attack</x:v>
      </x:c>
      <x:c r="J46" s="34" t="n">
        <x:v>5</x:v>
      </x:c>
      <x:c r="K46" s="34" t="n">
        <x:v>4</x:v>
      </x:c>
      <x:c r="L46" s="34" t="str"/>
      <x:c r="M46" s="12" t="str">
        <x:v>Poison 3 | Target: Gorm</x:v>
      </x:c>
      <x:c r="N46" s="12" t="str">
        <x:v>Precise, Marking, Counter, Attack</x:v>
      </x:c>
      <x:c r="O46" s="12" t="str">
        <x:v>Deal 5 damage. Apply Poison 3 if the target has a Gorm weak point, otherwise gain Marked 1.</x:v>
      </x:c>
      <x:c r="P46" s="12" t="str">
        <x:v>Deal 5 damage with Black Blade. Apply Poison 3 against a matching Gorm weak point; otherwise apply Marked 1. If this is your first card this turn, reduce its cost by 1, minimum 0.</x:v>
      </x:c>
      <x:c r="Q46" s="12" t="str"/>
      <x:c r="R46" s="12" t="str">
        <x:v>quirk: tempo</x:v>
      </x:c>
      <x:c r="S46" s="12" t="str">
        <x:v>fcbbeae836a5</x:v>
      </x:c>
      <x:c r="T46" s="12" t="n">
        <x:f>COUNTIF($S$2:$S$757,S46)</x:f>
        <x:v>1</x:v>
      </x:c>
      <x:c r="U46" s="12" t="str">
        <x:f>IF(T46=1,"OK","DUPLICATE")</x:f>
        <x:v>OK</x:v>
      </x:c>
    </x:row>
    <x:row r="47" ht="39.599998474121094" hidden="0" customHeight="1">
      <x:c r="A47" s="12" t="str">
        <x:v>Black Blade</x:v>
      </x:c>
      <x:c r="B47" s="12" t="str">
        <x:v>BLACK SWORD</x:v>
      </x:c>
      <x:c r="C47" s="12" t="str">
        <x:v>weapon</x:v>
      </x:c>
      <x:c r="D47" s="12" t="str">
        <x:v>sword</x:v>
      </x:c>
      <x:c r="E47" s="12" t="str">
        <x:v>mid</x:v>
      </x:c>
      <x:c r="F47" s="12" t="str">
        <x:v>rare</x:v>
      </x:c>
      <x:c r="G47" s="12" t="str">
        <x:v>Black Blade — Technique</x:v>
      </x:c>
      <x:c r="H47" s="34" t="n">
        <x:v>1</x:v>
      </x:c>
      <x:c r="I47" s="34" t="str">
        <x:v>skill</x:v>
      </x:c>
      <x:c r="J47" s="34" t="str"/>
      <x:c r="K47" s="34" t="str"/>
      <x:c r="L47" s="34" t="n">
        <x:v>5</x:v>
      </x:c>
      <x:c r="M47" s="12" t="str">
        <x:v>Opens: True</x:v>
      </x:c>
      <x:c r="N47" s="12" t="str">
        <x:v>Precise, Marking, Counter, Setup</x:v>
      </x:c>
      <x:c r="O47" s="12" t="str">
        <x:v>Set a parry line; your next Counter with this equipment costs 0 if it is the first Counter this battle. Also gain 5 block.</x:v>
      </x:c>
      <x:c r="P47" s="12" t="str">
        <x:v>Set a parry line; your next Counter with this equipment costs 0 if it is the first Counter this battle. Gain 5 block. If this is your first card this turn, reduce its cost by 1, minimum 0.</x:v>
      </x:c>
      <x:c r="Q47" s="12" t="str">
        <x:v>YES</x:v>
      </x:c>
      <x:c r="R47" s="12" t="str">
        <x:v>quirk: tempo</x:v>
      </x:c>
      <x:c r="S47" s="12" t="str">
        <x:v>f95c2a45ef21</x:v>
      </x:c>
      <x:c r="T47" s="12" t="n">
        <x:f>COUNTIF($S$2:$S$757,S47)</x:f>
        <x:v>1</x:v>
      </x:c>
      <x:c r="U47" s="12" t="str">
        <x:f>IF(T47=1,"OK","DUPLICATE")</x:f>
        <x:v>OK</x:v>
      </x:c>
    </x:row>
    <x:row r="48" ht="26.399999618530273" hidden="0" customHeight="1">
      <x:c r="A48" s="12" t="str">
        <x:v>Black Blade</x:v>
      </x:c>
      <x:c r="B48" s="12" t="str">
        <x:v>BLACK SWORD</x:v>
      </x:c>
      <x:c r="C48" s="12" t="str">
        <x:v>weapon</x:v>
      </x:c>
      <x:c r="D48" s="12" t="str">
        <x:v>sword</x:v>
      </x:c>
      <x:c r="E48" s="12" t="str">
        <x:v>mid</x:v>
      </x:c>
      <x:c r="F48" s="12" t="str">
        <x:v>rare</x:v>
      </x:c>
      <x:c r="G48" s="12" t="str">
        <x:v>Black Blade — Payoff</x:v>
      </x:c>
      <x:c r="H48" s="34" t="n">
        <x:v>2</x:v>
      </x:c>
      <x:c r="I48" s="34" t="str">
        <x:v>reaction</x:v>
      </x:c>
      <x:c r="J48" s="34" t="n">
        <x:v>7</x:v>
      </x:c>
      <x:c r="K48" s="34" t="n">
        <x:v>5</x:v>
      </x:c>
      <x:c r="L48" s="34" t="str"/>
      <x:c r="M48" s="12" t="str">
        <x:v>Poison 2</x:v>
      </x:c>
      <x:c r="N48" s="12" t="str">
        <x:v>Precise, Marking, Counter, Payoff, WeakPoint</x:v>
      </x:c>
      <x:c r="O48" s="12" t="str">
        <x:v>Deal 7 damage and 5 break damage. If this breaks a weak point, resolve Poison 2 and the tempo rider.</x:v>
      </x:c>
      <x:c r="P48" s="12" t="str">
        <x:v>Deal 7 damage and 5 break damage. If the weak point breaks, apply Poison 2 and resolve: If this is your first card this turn, reduce its cost by 1, minimum 0.</x:v>
      </x:c>
      <x:c r="Q48" s="12" t="str">
        <x:v>YES</x:v>
      </x:c>
      <x:c r="R48" s="12" t="str">
        <x:v>quirk: tempo | countsAsCounter True, firstCounterFree True</x:v>
      </x:c>
      <x:c r="S48" s="12" t="str">
        <x:v>ad62c63be9d6</x:v>
      </x:c>
      <x:c r="T48" s="12" t="n">
        <x:f>COUNTIF($S$2:$S$757,S48)</x:f>
        <x:v>1</x:v>
      </x:c>
      <x:c r="U48" s="12" t="str">
        <x:f>IF(T48=1,"OK","DUPLICATE")</x:f>
        <x:v>OK</x:v>
      </x:c>
    </x:row>
    <x:row r="49" ht="26.399999618530273" hidden="0" customHeight="1">
      <x:c r="A49" s="12" t="str">
        <x:v>Blast Guard</x:v>
      </x:c>
      <x:c r="B49" s="12" t="str">
        <x:v>BLAST SHIELD</x:v>
      </x:c>
      <x:c r="C49" s="12" t="str">
        <x:v>offhand</x:v>
      </x:c>
      <x:c r="D49" s="12" t="str">
        <x:v>shield</x:v>
      </x:c>
      <x:c r="E49" s="12" t="str">
        <x:v>apex</x:v>
      </x:c>
      <x:c r="F49" s="12" t="str">
        <x:v>uncommon</x:v>
      </x:c>
      <x:c r="G49" s="12" t="str">
        <x:v>Blast Guard — Shield Wall</x:v>
      </x:c>
      <x:c r="H49" s="34" t="n">
        <x:v>1</x:v>
      </x:c>
      <x:c r="I49" s="34" t="str">
        <x:v>skill</x:v>
      </x:c>
      <x:c r="J49" s="34" t="str"/>
      <x:c r="K49" s="34" t="str"/>
      <x:c r="L49" s="34" t="n">
        <x:v>6</x:v>
      </x:c>
      <x:c r="M49" s="12" t="str"/>
      <x:c r="N49" s="12" t="str">
        <x:v>Defensive, Counter, Party</x:v>
      </x:c>
      <x:c r="O49" s="12" t="str">
        <x:v>Gain 6 block and give chosen ally Guarded 2. The first Counter from this equipment this battle costs 0.</x:v>
      </x:c>
      <x:c r="P49" s="12" t="str">
        <x:v>Gain 6 block and give chosen ally Guarded 2. Set firstCounterReady for this equipment if unused. If you play a third attack this round, gain Panic 1.</x:v>
      </x:c>
      <x:c r="Q49" s="12" t="str"/>
      <x:c r="R49" s="12" t="str">
        <x:v>quirk: frenzyCheck | grantsFirstCounterFree True</x:v>
      </x:c>
      <x:c r="S49" s="12" t="str">
        <x:v>0b7bd0bef6fe</x:v>
      </x:c>
      <x:c r="T49" s="12" t="n">
        <x:f>COUNTIF($S$2:$S$757,S49)</x:f>
        <x:v>1</x:v>
      </x:c>
      <x:c r="U49" s="12" t="str">
        <x:f>IF(T49=1,"OK","DUPLICATE")</x:f>
        <x:v>OK</x:v>
      </x:c>
    </x:row>
    <x:row r="50" ht="39.599998474121094" hidden="0" customHeight="1">
      <x:c r="A50" s="12" t="str">
        <x:v>Blast Guard</x:v>
      </x:c>
      <x:c r="B50" s="12" t="str">
        <x:v>BLAST SHIELD</x:v>
      </x:c>
      <x:c r="C50" s="12" t="str">
        <x:v>offhand</x:v>
      </x:c>
      <x:c r="D50" s="12" t="str">
        <x:v>shield</x:v>
      </x:c>
      <x:c r="E50" s="12" t="str">
        <x:v>apex</x:v>
      </x:c>
      <x:c r="F50" s="12" t="str">
        <x:v>uncommon</x:v>
      </x:c>
      <x:c r="G50" s="12" t="str">
        <x:v>Blast Guard — Answering Bash</x:v>
      </x:c>
      <x:c r="H50" s="34" t="n">
        <x:v>1</x:v>
      </x:c>
      <x:c r="I50" s="34" t="str">
        <x:v>reaction</x:v>
      </x:c>
      <x:c r="J50" s="34" t="n">
        <x:v>4</x:v>
      </x:c>
      <x:c r="K50" s="34" t="str"/>
      <x:c r="L50" s="34" t="n">
        <x:v>0</x:v>
      </x:c>
      <x:c r="M50" s="12" t="str"/>
      <x:c r="N50" s="12" t="str">
        <x:v>Defensive, Counter, Party</x:v>
      </x:c>
      <x:c r="O50" s="12" t="str">
        <x:v>Counter for 4 damage after blocking. Costs 0 if it is this equipment’s first Counter of the battle.</x:v>
      </x:c>
      <x:c r="P50" s="12" t="str">
        <x:v>After this survivor blocks or prevents damage, Counter for 4 damage. If firstCounterUsed[blastGuard] is false this battle, pay 0 and then set it true. If you play a third attack this round, gain Panic 1.</x:v>
      </x:c>
      <x:c r="Q50" s="12" t="str">
        <x:v>YES</x:v>
      </x:c>
      <x:c r="R50" s="12" t="str">
        <x:v>quirk: frenzyCheck | countsAsCounter True, firstCounterFree True, counterFreeScope perBattlePerEquipment</x:v>
      </x:c>
      <x:c r="S50" s="12" t="str">
        <x:v>6296c49c94e8</x:v>
      </x:c>
      <x:c r="T50" s="12" t="n">
        <x:f>COUNTIF($S$2:$S$757,S50)</x:f>
        <x:v>1</x:v>
      </x:c>
      <x:c r="U50" s="12" t="str">
        <x:f>IF(T50=1,"OK","DUPLICATE")</x:f>
        <x:v>OK</x:v>
      </x:c>
    </x:row>
    <x:row r="51" ht="39.599998474121094" hidden="0" customHeight="1">
      <x:c r="A51" s="12" t="str">
        <x:v>Blast Blade</x:v>
      </x:c>
      <x:c r="B51" s="12" t="str">
        <x:v>BLAST SWORD</x:v>
      </x:c>
      <x:c r="C51" s="12" t="str">
        <x:v>weapon</x:v>
      </x:c>
      <x:c r="D51" s="12" t="str">
        <x:v>sword</x:v>
      </x:c>
      <x:c r="E51" s="12" t="str">
        <x:v>apex</x:v>
      </x:c>
      <x:c r="F51" s="12" t="str">
        <x:v>uncommon</x:v>
      </x:c>
      <x:c r="G51" s="12" t="str">
        <x:v>Blast Blade — Opening Cut</x:v>
      </x:c>
      <x:c r="H51" s="34" t="n">
        <x:v>1</x:v>
      </x:c>
      <x:c r="I51" s="34" t="str">
        <x:v>attack</x:v>
      </x:c>
      <x:c r="J51" s="34" t="n">
        <x:v>5</x:v>
      </x:c>
      <x:c r="K51" s="34" t="n">
        <x:v>3</x:v>
      </x:c>
      <x:c r="L51" s="34" t="str"/>
      <x:c r="M51" s="12" t="str">
        <x:v>Burn 3 | Target: Dragon King</x:v>
      </x:c>
      <x:c r="N51" s="12" t="str">
        <x:v>Precise, Marking, Counter, Attack</x:v>
      </x:c>
      <x:c r="O51" s="12" t="str">
        <x:v>Deal 5 damage. Apply Burn 3 if the target has a Dragon King weak point, otherwise gain Marked 1.</x:v>
      </x:c>
      <x:c r="P51" s="12" t="str">
        <x:v>Deal 5 damage with Blast Blade. Apply Burn 3 against a matching Dragon King weak point; otherwise apply Marked 1. If the quarry is below half HP, add +1 break damage.</x:v>
      </x:c>
      <x:c r="Q51" s="12" t="str"/>
      <x:c r="R51" s="12" t="str">
        <x:v>quirk: bloodied</x:v>
      </x:c>
      <x:c r="S51" s="12" t="str">
        <x:v>6ce33a043412</x:v>
      </x:c>
      <x:c r="T51" s="12" t="n">
        <x:f>COUNTIF($S$2:$S$757,S51)</x:f>
        <x:v>1</x:v>
      </x:c>
      <x:c r="U51" s="12" t="str">
        <x:f>IF(T51=1,"OK","DUPLICATE")</x:f>
        <x:v>OK</x:v>
      </x:c>
    </x:row>
    <x:row r="52" ht="39.599998474121094" hidden="0" customHeight="1">
      <x:c r="A52" s="12" t="str">
        <x:v>Blast Blade</x:v>
      </x:c>
      <x:c r="B52" s="12" t="str">
        <x:v>BLAST SWORD</x:v>
      </x:c>
      <x:c r="C52" s="12" t="str">
        <x:v>weapon</x:v>
      </x:c>
      <x:c r="D52" s="12" t="str">
        <x:v>sword</x:v>
      </x:c>
      <x:c r="E52" s="12" t="str">
        <x:v>apex</x:v>
      </x:c>
      <x:c r="F52" s="12" t="str">
        <x:v>uncommon</x:v>
      </x:c>
      <x:c r="G52" s="12" t="str">
        <x:v>Blast Blade — Technique</x:v>
      </x:c>
      <x:c r="H52" s="34" t="n">
        <x:v>1</x:v>
      </x:c>
      <x:c r="I52" s="34" t="str">
        <x:v>skill</x:v>
      </x:c>
      <x:c r="J52" s="34" t="str"/>
      <x:c r="K52" s="34" t="str"/>
      <x:c r="L52" s="34" t="n">
        <x:v>4</x:v>
      </x:c>
      <x:c r="M52" s="12" t="str">
        <x:v>Opens: True</x:v>
      </x:c>
      <x:c r="N52" s="12" t="str">
        <x:v>Precise, Marking, Counter, Setup</x:v>
      </x:c>
      <x:c r="O52" s="12" t="str">
        <x:v>Set a parry line; your next Counter with this equipment costs 0 if it is the first Counter this battle. Also gain 4 block.</x:v>
      </x:c>
      <x:c r="P52" s="12" t="str">
        <x:v>Set a parry line; your next Counter with this equipment costs 0 if it is the first Counter this battle. Gain 4 block. If the quarry is below half HP, add +1 break damage.</x:v>
      </x:c>
      <x:c r="Q52" s="12" t="str">
        <x:v>YES</x:v>
      </x:c>
      <x:c r="R52" s="12" t="str">
        <x:v>quirk: bloodied</x:v>
      </x:c>
      <x:c r="S52" s="12" t="str">
        <x:v>2c85d7d681f8</x:v>
      </x:c>
      <x:c r="T52" s="12" t="n">
        <x:f>COUNTIF($S$2:$S$757,S52)</x:f>
        <x:v>1</x:v>
      </x:c>
      <x:c r="U52" s="12" t="str">
        <x:f>IF(T52=1,"OK","DUPLICATE")</x:f>
        <x:v>OK</x:v>
      </x:c>
    </x:row>
    <x:row r="53" ht="26.399999618530273" hidden="0" customHeight="1">
      <x:c r="A53" s="12" t="str">
        <x:v>Blast Blade</x:v>
      </x:c>
      <x:c r="B53" s="12" t="str">
        <x:v>BLAST SWORD</x:v>
      </x:c>
      <x:c r="C53" s="12" t="str">
        <x:v>weapon</x:v>
      </x:c>
      <x:c r="D53" s="12" t="str">
        <x:v>sword</x:v>
      </x:c>
      <x:c r="E53" s="12" t="str">
        <x:v>apex</x:v>
      </x:c>
      <x:c r="F53" s="12" t="str">
        <x:v>uncommon</x:v>
      </x:c>
      <x:c r="G53" s="12" t="str">
        <x:v>Blast Blade — Payoff</x:v>
      </x:c>
      <x:c r="H53" s="34" t="n">
        <x:v>2</x:v>
      </x:c>
      <x:c r="I53" s="34" t="str">
        <x:v>reaction</x:v>
      </x:c>
      <x:c r="J53" s="34" t="n">
        <x:v>9</x:v>
      </x:c>
      <x:c r="K53" s="34" t="n">
        <x:v>4</x:v>
      </x:c>
      <x:c r="L53" s="34" t="str"/>
      <x:c r="M53" s="12" t="str">
        <x:v>Burn 2</x:v>
      </x:c>
      <x:c r="N53" s="12" t="str">
        <x:v>Precise, Marking, Counter, Payoff, WeakPoint</x:v>
      </x:c>
      <x:c r="O53" s="12" t="str">
        <x:v>Deal 9 damage and 4 break damage. If this breaks a weak point, resolve Burn 2 and the bloodied rider.</x:v>
      </x:c>
      <x:c r="P53" s="12" t="str">
        <x:v>Deal 9 damage and 4 break damage. If the weak point breaks, apply Burn 2 and resolve: If the quarry is below half HP, add +1 break damage.</x:v>
      </x:c>
      <x:c r="Q53" s="12" t="str">
        <x:v>YES</x:v>
      </x:c>
      <x:c r="R53" s="12" t="str">
        <x:v>quirk: bloodied | countsAsCounter True, firstCounterFree True</x:v>
      </x:c>
      <x:c r="S53" s="12" t="str">
        <x:v>f47cda8841e2</x:v>
      </x:c>
      <x:c r="T53" s="12" t="n">
        <x:f>COUNTIF($S$2:$S$757,S53)</x:f>
        <x:v>1</x:v>
      </x:c>
      <x:c r="U53" s="12" t="str">
        <x:f>IF(T53=1,"OK","DUPLICATE")</x:f>
        <x:v>OK</x:v>
      </x:c>
    </x:row>
    <x:row r="54" ht="39.599998474121094" hidden="0" customHeight="1">
      <x:c r="A54" s="12" t="str">
        <x:v>Blood Bag</x:v>
      </x:c>
      <x:c r="B54" s="12" t="str">
        <x:v>BLOOD BAG</x:v>
      </x:c>
      <x:c r="C54" s="12" t="str">
        <x:v>tool</x:v>
      </x:c>
      <x:c r="D54" s="12" t="str">
        <x:v>tool</x:v>
      </x:c>
      <x:c r="E54" s="12" t="str">
        <x:v>mid</x:v>
      </x:c>
      <x:c r="F54" s="12" t="str">
        <x:v>uncommon</x:v>
      </x:c>
      <x:c r="G54" s="12" t="str">
        <x:v>Blood Bag — Use</x:v>
      </x:c>
      <x:c r="H54" s="34" t="n">
        <x:v>1</x:v>
      </x:c>
      <x:c r="I54" s="34" t="str">
        <x:v>skill</x:v>
      </x:c>
      <x:c r="J54" s="34" t="str"/>
      <x:c r="K54" s="34" t="str"/>
      <x:c r="L54" s="34" t="str"/>
      <x:c r="M54" s="12" t="str">
        <x:v>Blind 3</x:v>
      </x:c>
      <x:c r="N54" s="12" t="str">
        <x:v>Tool, Harvest, Retreat</x:v>
      </x:c>
      <x:c r="O54" s="12" t="str">
        <x:v>Gain +4 to the next harvest, retreat, or weak-point test. If it fails, apply Blind 3 to the quarry or clear it from a survivor.</x:v>
      </x:c>
      <x:c r="P54" s="12" t="str">
        <x:v>Gain +4 to the next harvest, retreat, or weak-point test linked to Blood Crafter. On failure, either apply Blind 3 to the quarry or clear that status from a survivor. On a failed harvest, keep one common fallback material.</x:v>
      </x:c>
      <x:c r="Q54" s="12" t="str"/>
      <x:c r="R54" s="12" t="str">
        <x:v>quirk: salvage</x:v>
      </x:c>
      <x:c r="S54" s="12" t="str">
        <x:v>35fe84b7094c</x:v>
      </x:c>
      <x:c r="T54" s="12" t="n">
        <x:f>COUNTIF($S$2:$S$757,S54)</x:f>
        <x:v>1</x:v>
      </x:c>
      <x:c r="U54" s="12" t="str">
        <x:f>IF(T54=1,"OK","DUPLICATE")</x:f>
        <x:v>OK</x:v>
      </x:c>
    </x:row>
    <x:row r="55" ht="39.599998474121094" hidden="0" customHeight="1">
      <x:c r="A55" s="12" t="str">
        <x:v>Blood Bag</x:v>
      </x:c>
      <x:c r="B55" s="12" t="str">
        <x:v>BLOOD BAG</x:v>
      </x:c>
      <x:c r="C55" s="12" t="str">
        <x:v>tool</x:v>
      </x:c>
      <x:c r="D55" s="12" t="str">
        <x:v>tool</x:v>
      </x:c>
      <x:c r="E55" s="12" t="str">
        <x:v>mid</x:v>
      </x:c>
      <x:c r="F55" s="12" t="str">
        <x:v>uncommon</x:v>
      </x:c>
      <x:c r="G55" s="12" t="str">
        <x:v>Blood Bag — Contingency</x:v>
      </x:c>
      <x:c r="H55" s="34" t="n">
        <x:v>1</x:v>
      </x:c>
      <x:c r="I55" s="34" t="str">
        <x:v>reaction</x:v>
      </x:c>
      <x:c r="J55" s="34" t="str"/>
      <x:c r="K55" s="34" t="str"/>
      <x:c r="L55" s="34" t="str"/>
      <x:c r="M55" s="12" t="str"/>
      <x:c r="N55" s="12" t="str">
        <x:v>Tool, Harvest, Retreat</x:v>
      </x:c>
      <x:c r="O55" s="12" t="str">
        <x:v>When a hunt or monster consequence is previewed, reduce it by 4; on retreat, preserve 2 gathered resource.</x:v>
      </x:c>
      <x:c r="P55" s="12" t="str">
        <x:v>When a hunt event, retreat roll, or monster consequence is previewed, reduce the penalty by 4. If retreating, preserve 2 gathered resource. On a failed harvest, keep one common fallback material.</x:v>
      </x:c>
      <x:c r="Q55" s="12" t="str"/>
      <x:c r="R55" s="12" t="str">
        <x:v>quirk: salvage</x:v>
      </x:c>
      <x:c r="S55" s="12" t="str">
        <x:v>c34dcd625b8d</x:v>
      </x:c>
      <x:c r="T55" s="12" t="n">
        <x:f>COUNTIF($S$2:$S$757,S55)</x:f>
        <x:v>1</x:v>
      </x:c>
      <x:c r="U55" s="12" t="str">
        <x:f>IF(T55=1,"OK","DUPLICATE")</x:f>
        <x:v>OK</x:v>
      </x:c>
    </x:row>
    <x:row r="56" ht="39.599998474121094" hidden="0" customHeight="1">
      <x:c r="A56" s="12" t="str">
        <x:v>Blood Crown</x:v>
      </x:c>
      <x:c r="B56" s="12" t="str">
        <x:v>BLOOD HELM</x:v>
      </x:c>
      <x:c r="C56" s="12" t="str">
        <x:v>head</x:v>
      </x:c>
      <x:c r="D56" s="12" t="str">
        <x:v>armor</x:v>
      </x:c>
      <x:c r="E56" s="12" t="str">
        <x:v>mid</x:v>
      </x:c>
      <x:c r="F56" s="12" t="str">
        <x:v>uncommon</x:v>
      </x:c>
      <x:c r="G56" s="12" t="str">
        <x:v>Blood Crown — Brace</x:v>
      </x:c>
      <x:c r="H56" s="34" t="n">
        <x:v>1</x:v>
      </x:c>
      <x:c r="I56" s="34" t="str">
        <x:v>skill</x:v>
      </x:c>
      <x:c r="J56" s="34" t="str"/>
      <x:c r="K56" s="34" t="str"/>
      <x:c r="L56" s="34" t="n">
        <x:v>3</x:v>
      </x:c>
      <x:c r="M56" s="12" t="str"/>
      <x:c r="N56" s="12" t="str">
        <x:v>Defensive, Party, WoundCare</x:v>
      </x:c>
      <x:c r="O56" s="12" t="str">
        <x:v>Gain 3 block and Guarded 1. If hit before your next turn, reduce Stagger or Panic by 1.</x:v>
      </x:c>
      <x:c r="P56" s="12" t="str">
        <x:v>Gain 3 block and Guarded 1. If the next monster hit lands before your next turn, reduce Stagger or Panic by 1 after damage. You may gain Panic 1 to increase the listed number by 2.</x:v>
      </x:c>
      <x:c r="Q56" s="12" t="str"/>
      <x:c r="R56" s="12" t="str">
        <x:v>quirk: panicBrake</x:v>
      </x:c>
      <x:c r="S56" s="12" t="str">
        <x:v>69b841cc2e79</x:v>
      </x:c>
      <x:c r="T56" s="12" t="n">
        <x:f>COUNTIF($S$2:$S$757,S56)</x:f>
        <x:v>1</x:v>
      </x:c>
      <x:c r="U56" s="12" t="str">
        <x:f>IF(T56=1,"OK","DUPLICATE")</x:f>
        <x:v>OK</x:v>
      </x:c>
    </x:row>
    <x:row r="57" ht="39.599998474121094" hidden="0" customHeight="1">
      <x:c r="A57" s="12" t="str">
        <x:v>Blood Crown</x:v>
      </x:c>
      <x:c r="B57" s="12" t="str">
        <x:v>BLOOD HELM</x:v>
      </x:c>
      <x:c r="C57" s="12" t="str">
        <x:v>head</x:v>
      </x:c>
      <x:c r="D57" s="12" t="str">
        <x:v>armor</x:v>
      </x:c>
      <x:c r="E57" s="12" t="str">
        <x:v>mid</x:v>
      </x:c>
      <x:c r="F57" s="12" t="str">
        <x:v>uncommon</x:v>
      </x:c>
      <x:c r="G57" s="12" t="str">
        <x:v>Blood Crown — Fitted Plate</x:v>
      </x:c>
      <x:c r="H57" s="34" t="n">
        <x:v>1</x:v>
      </x:c>
      <x:c r="I57" s="34" t="str">
        <x:v>reaction</x:v>
      </x:c>
      <x:c r="J57" s="34" t="str"/>
      <x:c r="K57" s="34" t="str"/>
      <x:c r="L57" s="34" t="n">
        <x:v>4</x:v>
      </x:c>
      <x:c r="M57" s="12" t="str"/>
      <x:c r="N57" s="12" t="str">
        <x:v>Defensive, Party, WoundCare, Reaction</x:v>
      </x:c>
      <x:c r="O57" s="12" t="str">
        <x:v>After damage is previewed, prevent 4 damage. Then give the next ally Guarded 2.</x:v>
      </x:c>
      <x:c r="P57" s="12" t="str">
        <x:v>After incoming damage is previewed, prevent 4 damage with the head slot. Then the next ally gains Guarded 2. You may gain Panic 1 to increase the listed number by 2.</x:v>
      </x:c>
      <x:c r="Q57" s="12" t="str"/>
      <x:c r="R57" s="12" t="str">
        <x:v>quirk: panicBrake</x:v>
      </x:c>
      <x:c r="S57" s="12" t="str">
        <x:v>bf071860f070</x:v>
      </x:c>
      <x:c r="T57" s="12" t="n">
        <x:f>COUNTIF($S$2:$S$757,S57)</x:f>
        <x:v>1</x:v>
      </x:c>
      <x:c r="U57" s="12" t="str">
        <x:f>IF(T57=1,"OK","DUPLICATE")</x:f>
        <x:v>OK</x:v>
      </x:c>
    </x:row>
    <x:row r="58" ht="39.599998474121094" hidden="0" customHeight="1">
      <x:c r="A58" s="12" t="str">
        <x:v>Blood Paint</x:v>
      </x:c>
      <x:c r="B58" s="12" t="str">
        <x:v>BLOOD PAINT</x:v>
      </x:c>
      <x:c r="C58" s="12" t="str">
        <x:v>tool</x:v>
      </x:c>
      <x:c r="D58" s="12" t="str">
        <x:v>consumable</x:v>
      </x:c>
      <x:c r="E58" s="12" t="str">
        <x:v>early</x:v>
      </x:c>
      <x:c r="F58" s="12" t="str">
        <x:v>uncommon</x:v>
      </x:c>
      <x:c r="G58" s="12" t="str">
        <x:v>Blood Paint — Use</x:v>
      </x:c>
      <x:c r="H58" s="34" t="n">
        <x:v>0</x:v>
      </x:c>
      <x:c r="I58" s="34" t="str">
        <x:v>skill</x:v>
      </x:c>
      <x:c r="J58" s="34" t="str"/>
      <x:c r="K58" s="34" t="str"/>
      <x:c r="L58" s="34" t="str"/>
      <x:c r="M58" s="12" t="str">
        <x:v>Exposed 1</x:v>
      </x:c>
      <x:c r="N58" s="12" t="str">
        <x:v>Tool, Survival, Retreat</x:v>
      </x:c>
      <x:c r="O58" s="12" t="str">
        <x:v>Gain +2 to the next harvest, retreat, or weak-point test. If it fails, apply Exposed 1 to the quarry or clear it from a survivor.</x:v>
      </x:c>
      <x:c r="P58" s="12" t="str">
        <x:v>Gain +2 to the next harvest, retreat, or weak-point test linked to Stone Circle. On failure, either apply Exposed 1 to the quarry or clear that status from a survivor. If played after blocking, your next Counter gains +2 damage.</x:v>
      </x:c>
      <x:c r="Q58" s="12" t="str"/>
      <x:c r="R58" s="12" t="str">
        <x:v>quirk: counterReady</x:v>
      </x:c>
      <x:c r="S58" s="12" t="str">
        <x:v>dfeffa053dd8</x:v>
      </x:c>
      <x:c r="T58" s="12" t="n">
        <x:f>COUNTIF($S$2:$S$757,S58)</x:f>
        <x:v>1</x:v>
      </x:c>
      <x:c r="U58" s="12" t="str">
        <x:f>IF(T58=1,"OK","DUPLICATE")</x:f>
        <x:v>OK</x:v>
      </x:c>
    </x:row>
    <x:row r="59" ht="39.599998474121094" hidden="0" customHeight="1">
      <x:c r="A59" s="12" t="str">
        <x:v>Blood Paint</x:v>
      </x:c>
      <x:c r="B59" s="12" t="str">
        <x:v>BLOOD PAINT</x:v>
      </x:c>
      <x:c r="C59" s="12" t="str">
        <x:v>tool</x:v>
      </x:c>
      <x:c r="D59" s="12" t="str">
        <x:v>consumable</x:v>
      </x:c>
      <x:c r="E59" s="12" t="str">
        <x:v>early</x:v>
      </x:c>
      <x:c r="F59" s="12" t="str">
        <x:v>uncommon</x:v>
      </x:c>
      <x:c r="G59" s="12" t="str">
        <x:v>Blood Paint — Contingency</x:v>
      </x:c>
      <x:c r="H59" s="34" t="n">
        <x:v>1</x:v>
      </x:c>
      <x:c r="I59" s="34" t="str">
        <x:v>reaction</x:v>
      </x:c>
      <x:c r="J59" s="34" t="str"/>
      <x:c r="K59" s="34" t="str"/>
      <x:c r="L59" s="34" t="str"/>
      <x:c r="M59" s="12" t="str"/>
      <x:c r="N59" s="12" t="str">
        <x:v>Tool, Survival, Retreat</x:v>
      </x:c>
      <x:c r="O59" s="12" t="str">
        <x:v>When a hunt or monster consequence is previewed, reduce it by 2; on retreat, preserve 2 gathered resource.</x:v>
      </x:c>
      <x:c r="P59" s="12" t="str">
        <x:v>When a hunt event, retreat roll, or monster consequence is previewed, reduce the penalty by 2. If retreating, preserve 2 gathered resource. If played after blocking, your next Counter gains +2 damage.</x:v>
      </x:c>
      <x:c r="Q59" s="12" t="str"/>
      <x:c r="R59" s="12" t="str">
        <x:v>quirk: counterReady</x:v>
      </x:c>
      <x:c r="S59" s="12" t="str">
        <x:v>7f6b4618abb7</x:v>
      </x:c>
      <x:c r="T59" s="12" t="n">
        <x:f>COUNTIF($S$2:$S$757,S59)</x:f>
        <x:v>1</x:v>
      </x:c>
      <x:c r="U59" s="12" t="str">
        <x:f>IF(T59=1,"OK","DUPLICATE")</x:f>
        <x:v>OK</x:v>
      </x:c>
    </x:row>
    <x:row r="60" ht="39.599998474121094" hidden="0" customHeight="1">
      <x:c r="A60" s="12" t="str">
        <x:v>Blood Sheath</x:v>
      </x:c>
      <x:c r="B60" s="12" t="str">
        <x:v>BLOOD SHEATH</x:v>
      </x:c>
      <x:c r="C60" s="12" t="str">
        <x:v>tool</x:v>
      </x:c>
      <x:c r="D60" s="12" t="str">
        <x:v>tool</x:v>
      </x:c>
      <x:c r="E60" s="12" t="str">
        <x:v>early</x:v>
      </x:c>
      <x:c r="F60" s="12" t="str">
        <x:v>uncommon</x:v>
      </x:c>
      <x:c r="G60" s="12" t="str">
        <x:v>Blood Sheath — Use</x:v>
      </x:c>
      <x:c r="H60" s="34" t="n">
        <x:v>1</x:v>
      </x:c>
      <x:c r="I60" s="34" t="str">
        <x:v>skill</x:v>
      </x:c>
      <x:c r="J60" s="34" t="str"/>
      <x:c r="K60" s="34" t="str"/>
      <x:c r="L60" s="34" t="str"/>
      <x:c r="M60" s="12" t="str">
        <x:v>Marked 2</x:v>
      </x:c>
      <x:c r="N60" s="12" t="str">
        <x:v>Tool, Harvest, Retreat</x:v>
      </x:c>
      <x:c r="O60" s="12" t="str">
        <x:v>Gain +3 to the next harvest, retreat, or weak-point test. If it fails, apply Marked 2 to the quarry or clear it from a survivor.</x:v>
      </x:c>
      <x:c r="P60" s="12" t="str">
        <x:v>Gain +3 to the next harvest, retreat, or weak-point test linked to Weapon Crafter. On failure, either apply Marked 2 to the quarry or clear that status from a survivor. If you play a third attack this round, gain Panic 1.</x:v>
      </x:c>
      <x:c r="Q60" s="12" t="str"/>
      <x:c r="R60" s="12" t="str">
        <x:v>quirk: frenzyCheck</x:v>
      </x:c>
      <x:c r="S60" s="12" t="str">
        <x:v>dcdf8273a091</x:v>
      </x:c>
      <x:c r="T60" s="12" t="n">
        <x:f>COUNTIF($S$2:$S$757,S60)</x:f>
        <x:v>1</x:v>
      </x:c>
      <x:c r="U60" s="12" t="str">
        <x:f>IF(T60=1,"OK","DUPLICATE")</x:f>
        <x:v>OK</x:v>
      </x:c>
    </x:row>
    <x:row r="61" ht="39.599998474121094" hidden="0" customHeight="1">
      <x:c r="A61" s="12" t="str">
        <x:v>Blood Sheath</x:v>
      </x:c>
      <x:c r="B61" s="12" t="str">
        <x:v>BLOOD SHEATH</x:v>
      </x:c>
      <x:c r="C61" s="12" t="str">
        <x:v>tool</x:v>
      </x:c>
      <x:c r="D61" s="12" t="str">
        <x:v>tool</x:v>
      </x:c>
      <x:c r="E61" s="12" t="str">
        <x:v>early</x:v>
      </x:c>
      <x:c r="F61" s="12" t="str">
        <x:v>uncommon</x:v>
      </x:c>
      <x:c r="G61" s="12" t="str">
        <x:v>Blood Sheath — Contingency</x:v>
      </x:c>
      <x:c r="H61" s="34" t="n">
        <x:v>1</x:v>
      </x:c>
      <x:c r="I61" s="34" t="str">
        <x:v>reaction</x:v>
      </x:c>
      <x:c r="J61" s="34" t="str"/>
      <x:c r="K61" s="34" t="str"/>
      <x:c r="L61" s="34" t="str"/>
      <x:c r="M61" s="12" t="str"/>
      <x:c r="N61" s="12" t="str">
        <x:v>Tool, Harvest, Retreat</x:v>
      </x:c>
      <x:c r="O61" s="12" t="str">
        <x:v>When a hunt or monster consequence is previewed, reduce it by 3; on retreat, preserve 1 gathered resource.</x:v>
      </x:c>
      <x:c r="P61" s="12" t="str">
        <x:v>When a hunt event, retreat roll, or monster consequence is previewed, reduce the penalty by 3. If retreating, preserve 1 gathered resource. If you play a third attack this round, gain Panic 1.</x:v>
      </x:c>
      <x:c r="Q61" s="12" t="str"/>
      <x:c r="R61" s="12" t="str">
        <x:v>quirk: frenzyCheck</x:v>
      </x:c>
      <x:c r="S61" s="12" t="str">
        <x:v>7dc3d83ae147</x:v>
      </x:c>
      <x:c r="T61" s="12" t="n">
        <x:f>COUNTIF($S$2:$S$757,S61)</x:f>
        <x:v>1</x:v>
      </x:c>
      <x:c r="U61" s="12" t="str">
        <x:f>IF(T61=1,"OK","DUPLICATE")</x:f>
        <x:v>OK</x:v>
      </x:c>
    </x:row>
    <x:row r="62" ht="39.599998474121094" hidden="0" customHeight="1">
      <x:c r="A62" s="12" t="str">
        <x:v>Bloom Sphere</x:v>
      </x:c>
      <x:c r="B62" s="12" t="str">
        <x:v>BLOOM SPHERE</x:v>
      </x:c>
      <x:c r="C62" s="12" t="str">
        <x:v>tool</x:v>
      </x:c>
      <x:c r="D62" s="12" t="str">
        <x:v>tool</x:v>
      </x:c>
      <x:c r="E62" s="12" t="str">
        <x:v>early</x:v>
      </x:c>
      <x:c r="F62" s="12" t="str">
        <x:v>common</x:v>
      </x:c>
      <x:c r="G62" s="12" t="str">
        <x:v>Bloom Sphere — Use</x:v>
      </x:c>
      <x:c r="H62" s="34" t="n">
        <x:v>1</x:v>
      </x:c>
      <x:c r="I62" s="34" t="str">
        <x:v>skill</x:v>
      </x:c>
      <x:c r="J62" s="34" t="str"/>
      <x:c r="K62" s="34" t="str"/>
      <x:c r="L62" s="34" t="str"/>
      <x:c r="M62" s="12" t="str">
        <x:v>Doom 1</x:v>
      </x:c>
      <x:c r="N62" s="12" t="str">
        <x:v>Tool, Harvest, Retreat</x:v>
      </x:c>
      <x:c r="O62" s="12" t="str">
        <x:v>Gain +1 to the next harvest, retreat, or weak-point test. If it fails, apply Doom 1 to the quarry or clear it from a survivor.</x:v>
      </x:c>
      <x:c r="P62" s="12" t="str">
        <x:v>Gain +1 to the next harvest, retreat, or weak-point test linked to Plumery. On failure, either apply Doom 1 to the quarry or clear that status from a survivor. If you deal no HP damage, gain +2 break damage.</x:v>
      </x:c>
      <x:c r="Q62" s="12" t="str"/>
      <x:c r="R62" s="12" t="str">
        <x:v>quirk: careful</x:v>
      </x:c>
      <x:c r="S62" s="12" t="str">
        <x:v>39f11bc5c118</x:v>
      </x:c>
      <x:c r="T62" s="12" t="n">
        <x:f>COUNTIF($S$2:$S$757,S62)</x:f>
        <x:v>1</x:v>
      </x:c>
      <x:c r="U62" s="12" t="str">
        <x:f>IF(T62=1,"OK","DUPLICATE")</x:f>
        <x:v>OK</x:v>
      </x:c>
    </x:row>
    <x:row r="63" ht="39.599998474121094" hidden="0" customHeight="1">
      <x:c r="A63" s="12" t="str">
        <x:v>Bloom Sphere</x:v>
      </x:c>
      <x:c r="B63" s="12" t="str">
        <x:v>BLOOM SPHERE</x:v>
      </x:c>
      <x:c r="C63" s="12" t="str">
        <x:v>tool</x:v>
      </x:c>
      <x:c r="D63" s="12" t="str">
        <x:v>tool</x:v>
      </x:c>
      <x:c r="E63" s="12" t="str">
        <x:v>early</x:v>
      </x:c>
      <x:c r="F63" s="12" t="str">
        <x:v>common</x:v>
      </x:c>
      <x:c r="G63" s="12" t="str">
        <x:v>Bloom Sphere — Contingency</x:v>
      </x:c>
      <x:c r="H63" s="34" t="n">
        <x:v>1</x:v>
      </x:c>
      <x:c r="I63" s="34" t="str">
        <x:v>reaction</x:v>
      </x:c>
      <x:c r="J63" s="34" t="str"/>
      <x:c r="K63" s="34" t="str"/>
      <x:c r="L63" s="34" t="str"/>
      <x:c r="M63" s="12" t="str"/>
      <x:c r="N63" s="12" t="str">
        <x:v>Tool, Harvest, Retreat</x:v>
      </x:c>
      <x:c r="O63" s="12" t="str">
        <x:v>When a hunt or monster consequence is previewed, reduce it by 1; on retreat, preserve 2 gathered resource.</x:v>
      </x:c>
      <x:c r="P63" s="12" t="str">
        <x:v>When a hunt event, retreat roll, or monster consequence is previewed, reduce the penalty by 1. If retreating, preserve 2 gathered resource. If you deal no HP damage, gain +2 break damage.</x:v>
      </x:c>
      <x:c r="Q63" s="12" t="str"/>
      <x:c r="R63" s="12" t="str">
        <x:v>quirk: careful</x:v>
      </x:c>
      <x:c r="S63" s="12" t="str">
        <x:v>49de104f778e</x:v>
      </x:c>
      <x:c r="T63" s="12" t="n">
        <x:f>COUNTIF($S$2:$S$757,S63)</x:f>
        <x:v>1</x:v>
      </x:c>
      <x:c r="U63" s="12" t="str">
        <x:f>IF(T63=1,"OK","DUPLICATE")</x:f>
        <x:v>OK</x:v>
      </x:c>
    </x:row>
    <x:row r="64" ht="39.599998474121094" hidden="0" customHeight="1">
      <x:c r="A64" s="12" t="str">
        <x:v>Blue Charm</x:v>
      </x:c>
      <x:c r="B64" s="12" t="str">
        <x:v>BLUE CHARM</x:v>
      </x:c>
      <x:c r="C64" s="12" t="str">
        <x:v>charm</x:v>
      </x:c>
      <x:c r="D64" s="12" t="str">
        <x:v>charm</x:v>
      </x:c>
      <x:c r="E64" s="12" t="str">
        <x:v>early</x:v>
      </x:c>
      <x:c r="F64" s="12" t="str">
        <x:v>uncommon</x:v>
      </x:c>
      <x:c r="G64" s="12" t="str">
        <x:v>Blue Charm — Omen</x:v>
      </x:c>
      <x:c r="H64" s="34" t="n">
        <x:v>0</x:v>
      </x:c>
      <x:c r="I64" s="34" t="str">
        <x:v>skill</x:v>
      </x:c>
      <x:c r="J64" s="34" t="str"/>
      <x:c r="K64" s="34" t="str"/>
      <x:c r="L64" s="34" t="str"/>
      <x:c r="M64" s="12" t="str"/>
      <x:c r="N64" s="12" t="str">
        <x:v>Charm, Passive, Survival</x:v>
      </x:c>
      <x:c r="O64" s="12" t="str">
        <x:v>Peek at the next quarry card or weak-point reward. You may mark it; if you do, gain Panic 1.</x:v>
      </x:c>
      <x:c r="P64" s="12" t="str">
        <x:v>Peek at the next quarry AI, hit-location or weak-point reward, depending on screen. You may mark it. If marked, gain Panic 1. If played after blocking, your next Counter gains +2 damage.</x:v>
      </x:c>
      <x:c r="Q64" s="12" t="str"/>
      <x:c r="R64" s="12" t="str">
        <x:v>quirk: counterReady</x:v>
      </x:c>
      <x:c r="S64" s="12" t="str">
        <x:v>4d38bcd5a6bf</x:v>
      </x:c>
      <x:c r="T64" s="12" t="n">
        <x:f>COUNTIF($S$2:$S$757,S64)</x:f>
        <x:v>1</x:v>
      </x:c>
      <x:c r="U64" s="12" t="str">
        <x:f>IF(T64=1,"OK","DUPLICATE")</x:f>
        <x:v>OK</x:v>
      </x:c>
    </x:row>
    <x:row r="65" ht="39.599998474121094" hidden="0" customHeight="1">
      <x:c r="A65" s="12" t="str">
        <x:v>Blue Charm</x:v>
      </x:c>
      <x:c r="B65" s="12" t="str">
        <x:v>BLUE CHARM</x:v>
      </x:c>
      <x:c r="C65" s="12" t="str">
        <x:v>charm</x:v>
      </x:c>
      <x:c r="D65" s="12" t="str">
        <x:v>charm</x:v>
      </x:c>
      <x:c r="E65" s="12" t="str">
        <x:v>early</x:v>
      </x:c>
      <x:c r="F65" s="12" t="str">
        <x:v>uncommon</x:v>
      </x:c>
      <x:c r="G65" s="12" t="str">
        <x:v>Blue Charm — Glimmer</x:v>
      </x:c>
      <x:c r="H65" s="34" t="n">
        <x:v>0</x:v>
      </x:c>
      <x:c r="I65" s="34" t="str">
        <x:v>reaction</x:v>
      </x:c>
      <x:c r="J65" s="34" t="str"/>
      <x:c r="K65" s="34" t="str"/>
      <x:c r="L65" s="34" t="str"/>
      <x:c r="M65" s="12" t="str"/>
      <x:c r="N65" s="12" t="str">
        <x:v>Charm, Passive, Survival</x:v>
      </x:c>
      <x:c r="O65" s="12" t="str">
        <x:v>When Burn or a hunt consequence would affect you, reduce it by 2; exhaust this charm.</x:v>
      </x:c>
      <x:c r="P65" s="12" t="str">
        <x:v>When Burn, Panic, or a hunt consequence would affect this survivor, reduce it by 2; exhaust this charm until the next settlement phase. If played after blocking, your next Counter gains +2 damage.</x:v>
      </x:c>
      <x:c r="Q65" s="12" t="str"/>
      <x:c r="R65" s="12" t="str">
        <x:v>quirk: counterReady</x:v>
      </x:c>
      <x:c r="S65" s="12" t="str">
        <x:v>b2559c046711</x:v>
      </x:c>
      <x:c r="T65" s="12" t="n">
        <x:f>COUNTIF($S$2:$S$757,S65)</x:f>
        <x:v>1</x:v>
      </x:c>
      <x:c r="U65" s="12" t="str">
        <x:f>IF(T65=1,"OK","DUPLICATE")</x:f>
        <x:v>OK</x:v>
      </x:c>
    </x:row>
    <x:row r="66" ht="39.599998474121094" hidden="0" customHeight="1">
      <x:c r="A66" s="12" t="str">
        <x:v>Blue Power Core</x:v>
      </x:c>
      <x:c r="B66" s="12" t="str">
        <x:v>BLUE POWER CORE</x:v>
      </x:c>
      <x:c r="C66" s="12" t="str">
        <x:v>charm</x:v>
      </x:c>
      <x:c r="D66" s="12" t="str">
        <x:v>charm</x:v>
      </x:c>
      <x:c r="E66" s="12" t="str">
        <x:v>apex</x:v>
      </x:c>
      <x:c r="F66" s="12" t="str">
        <x:v>rare</x:v>
      </x:c>
      <x:c r="G66" s="12" t="str">
        <x:v>Blue Power Core — Omen</x:v>
      </x:c>
      <x:c r="H66" s="34" t="n">
        <x:v>0</x:v>
      </x:c>
      <x:c r="I66" s="34" t="str">
        <x:v>skill</x:v>
      </x:c>
      <x:c r="J66" s="34" t="str"/>
      <x:c r="K66" s="34" t="str"/>
      <x:c r="L66" s="34" t="str"/>
      <x:c r="M66" s="12" t="str"/>
      <x:c r="N66" s="12" t="str">
        <x:v>Charm, Passive, Survival</x:v>
      </x:c>
      <x:c r="O66" s="12" t="str">
        <x:v>Peek at the next quarry card or weak-point reward. You may mark it; if you do, gain Panic 2.</x:v>
      </x:c>
      <x:c r="P66" s="12" t="str">
        <x:v>Peek at the next quarry AI, hit-location or weak-point reward, depending on screen. You may mark it. If marked, gain Panic 2. If you play a third attack this round, gain Panic 1.</x:v>
      </x:c>
      <x:c r="Q66" s="12" t="str"/>
      <x:c r="R66" s="12" t="str">
        <x:v>quirk: frenzyCheck</x:v>
      </x:c>
      <x:c r="S66" s="12" t="str">
        <x:v>bee404ec67b2</x:v>
      </x:c>
      <x:c r="T66" s="12" t="n">
        <x:f>COUNTIF($S$2:$S$757,S66)</x:f>
        <x:v>1</x:v>
      </x:c>
      <x:c r="U66" s="12" t="str">
        <x:f>IF(T66=1,"OK","DUPLICATE")</x:f>
        <x:v>OK</x:v>
      </x:c>
    </x:row>
    <x:row r="67" ht="39.599998474121094" hidden="0" customHeight="1">
      <x:c r="A67" s="12" t="str">
        <x:v>Blue Power Core</x:v>
      </x:c>
      <x:c r="B67" s="12" t="str">
        <x:v>BLUE POWER CORE</x:v>
      </x:c>
      <x:c r="C67" s="12" t="str">
        <x:v>charm</x:v>
      </x:c>
      <x:c r="D67" s="12" t="str">
        <x:v>charm</x:v>
      </x:c>
      <x:c r="E67" s="12" t="str">
        <x:v>apex</x:v>
      </x:c>
      <x:c r="F67" s="12" t="str">
        <x:v>rare</x:v>
      </x:c>
      <x:c r="G67" s="12" t="str">
        <x:v>Blue Power Core — Glimmer</x:v>
      </x:c>
      <x:c r="H67" s="34" t="n">
        <x:v>0</x:v>
      </x:c>
      <x:c r="I67" s="34" t="str">
        <x:v>reaction</x:v>
      </x:c>
      <x:c r="J67" s="34" t="str"/>
      <x:c r="K67" s="34" t="str"/>
      <x:c r="L67" s="34" t="str"/>
      <x:c r="M67" s="12" t="str"/>
      <x:c r="N67" s="12" t="str">
        <x:v>Charm, Passive, Survival</x:v>
      </x:c>
      <x:c r="O67" s="12" t="str">
        <x:v>When Burn or a hunt consequence would affect you, reduce it by 6; exhaust this charm.</x:v>
      </x:c>
      <x:c r="P67" s="12" t="str">
        <x:v>When Burn, Panic, or a hunt consequence would affect this survivor, reduce it by 6; exhaust this charm until the next settlement phase. If you play a third attack this round, gain Panic 1.</x:v>
      </x:c>
      <x:c r="Q67" s="12" t="str"/>
      <x:c r="R67" s="12" t="str">
        <x:v>quirk: frenzyCheck</x:v>
      </x:c>
      <x:c r="S67" s="12" t="str">
        <x:v>640cc4822fc7</x:v>
      </x:c>
      <x:c r="T67" s="12" t="n">
        <x:f>COUNTIF($S$2:$S$757,S67)</x:f>
        <x:v>1</x:v>
      </x:c>
      <x:c r="U67" s="12" t="str">
        <x:f>IF(T67=1,"OK","DUPLICATE")</x:f>
        <x:v>OK</x:v>
      </x:c>
    </x:row>
    <x:row r="68" ht="39.599998474121094" hidden="0" customHeight="1">
      <x:c r="A68" s="12" t="str">
        <x:v>Blue Ring</x:v>
      </x:c>
      <x:c r="B68" s="12" t="str">
        <x:v>BLUE RING</x:v>
      </x:c>
      <x:c r="C68" s="12" t="str">
        <x:v>arms</x:v>
      </x:c>
      <x:c r="D68" s="12" t="str">
        <x:v>charm</x:v>
      </x:c>
      <x:c r="E68" s="12" t="str">
        <x:v>mid</x:v>
      </x:c>
      <x:c r="F68" s="12" t="str">
        <x:v>uncommon</x:v>
      </x:c>
      <x:c r="G68" s="12" t="str">
        <x:v>Blue Ring — Omen</x:v>
      </x:c>
      <x:c r="H68" s="34" t="n">
        <x:v>0</x:v>
      </x:c>
      <x:c r="I68" s="34" t="str">
        <x:v>skill</x:v>
      </x:c>
      <x:c r="J68" s="34" t="str"/>
      <x:c r="K68" s="34" t="str"/>
      <x:c r="L68" s="34" t="str"/>
      <x:c r="M68" s="12" t="str"/>
      <x:c r="N68" s="12" t="str">
        <x:v>Charm, Passive, Survival</x:v>
      </x:c>
      <x:c r="O68" s="12" t="str">
        <x:v>Peek at the next quarry card or weak-point reward. You may mark it; if you do, gain Panic 1; If you have no Bleed, Poison, or Burn, clear Panic 1.</x:v>
      </x:c>
      <x:c r="P68" s="12" t="str">
        <x:v>Peek at the next quarry AI, hit-location or weak-point reward, depending on screen. You may mark it. If marked, gain Panic 1. If you deal no HP damage, gain +2 break damage. If you have no Bleed, Poison, or Burn, clear Panic 1.</x:v>
      </x:c>
      <x:c r="Q68" s="12" t="str"/>
      <x:c r="R68" s="12" t="str">
        <x:v>quirk: careful+cleanHands | uniqueRider:cleanHands</x:v>
      </x:c>
      <x:c r="S68" s="12" t="str">
        <x:v>b2a51ee969ed</x:v>
      </x:c>
      <x:c r="T68" s="12" t="n">
        <x:f>COUNTIF($S$2:$S$757,S68)</x:f>
        <x:v>1</x:v>
      </x:c>
      <x:c r="U68" s="12" t="str">
        <x:f>IF(T68=1,"OK","DUPLICATE")</x:f>
        <x:v>OK</x:v>
      </x:c>
    </x:row>
    <x:row r="69" ht="39.599998474121094" hidden="0" customHeight="1">
      <x:c r="A69" s="12" t="str">
        <x:v>Blue Ring</x:v>
      </x:c>
      <x:c r="B69" s="12" t="str">
        <x:v>BLUE RING</x:v>
      </x:c>
      <x:c r="C69" s="12" t="str">
        <x:v>arms</x:v>
      </x:c>
      <x:c r="D69" s="12" t="str">
        <x:v>charm</x:v>
      </x:c>
      <x:c r="E69" s="12" t="str">
        <x:v>mid</x:v>
      </x:c>
      <x:c r="F69" s="12" t="str">
        <x:v>uncommon</x:v>
      </x:c>
      <x:c r="G69" s="12" t="str">
        <x:v>Blue Ring — Glimmer</x:v>
      </x:c>
      <x:c r="H69" s="34" t="n">
        <x:v>0</x:v>
      </x:c>
      <x:c r="I69" s="34" t="str">
        <x:v>reaction</x:v>
      </x:c>
      <x:c r="J69" s="34" t="str"/>
      <x:c r="K69" s="34" t="str"/>
      <x:c r="L69" s="34" t="str"/>
      <x:c r="M69" s="12" t="str"/>
      <x:c r="N69" s="12" t="str">
        <x:v>Charm, Passive, Survival</x:v>
      </x:c>
      <x:c r="O69" s="12" t="str">
        <x:v>When Snared or a hunt consequence would affect you, reduce it by 2; exhaust this charm.</x:v>
      </x:c>
      <x:c r="P69" s="12" t="str">
        <x:v>When Snared, Panic, or a hunt consequence would affect this survivor, reduce it by 2; exhaust this charm until the next settlement phase. If you deal no HP damage, gain +2 break damage.</x:v>
      </x:c>
      <x:c r="Q69" s="12" t="str"/>
      <x:c r="R69" s="12" t="str">
        <x:v>quirk: careful</x:v>
      </x:c>
      <x:c r="S69" s="12" t="str">
        <x:v>c173c1f46889</x:v>
      </x:c>
      <x:c r="T69" s="12" t="n">
        <x:f>COUNTIF($S$2:$S$757,S69)</x:f>
        <x:v>1</x:v>
      </x:c>
      <x:c r="U69" s="12" t="str">
        <x:f>IF(T69=1,"OK","DUPLICATE")</x:f>
        <x:v>OK</x:v>
      </x:c>
    </x:row>
    <x:row r="70" ht="39.599998474121094" hidden="0" customHeight="1">
      <x:c r="A70" s="12" t="str">
        <x:v>Bone Axe</x:v>
      </x:c>
      <x:c r="B70" s="12" t="str">
        <x:v>BONE AXE</x:v>
      </x:c>
      <x:c r="C70" s="12" t="str">
        <x:v>weapon</x:v>
      </x:c>
      <x:c r="D70" s="12" t="str">
        <x:v>axe</x:v>
      </x:c>
      <x:c r="E70" s="12" t="str">
        <x:v>early</x:v>
      </x:c>
      <x:c r="F70" s="12" t="str">
        <x:v>uncommon</x:v>
      </x:c>
      <x:c r="G70" s="12" t="str">
        <x:v>Bone Axe — Opening Strike</x:v>
      </x:c>
      <x:c r="H70" s="34" t="n">
        <x:v>1</x:v>
      </x:c>
      <x:c r="I70" s="34" t="str">
        <x:v>attack</x:v>
      </x:c>
      <x:c r="J70" s="34" t="n">
        <x:v>5</x:v>
      </x:c>
      <x:c r="K70" s="34" t="n">
        <x:v>3</x:v>
      </x:c>
      <x:c r="L70" s="34" t="str"/>
      <x:c r="M70" s="12" t="str">
        <x:v>Shock 2 | Target: Settlement</x:v>
      </x:c>
      <x:c r="N70" s="12" t="str">
        <x:v>Heavy, Brutal, Harvest, Attack</x:v>
      </x:c>
      <x:c r="O70" s="12" t="str">
        <x:v>Deal 5 damage. Apply Shock 2 if the target has a Settlement weak point, otherwise gain Marked 1.</x:v>
      </x:c>
      <x:c r="P70" s="12" t="str">
        <x:v>Deal 5 damage with Bone Axe. Apply Shock 2 against a matching Settlement weak point; otherwise apply Marked 1. After use, Exhaust this equipment until the next monster turn.</x:v>
      </x:c>
      <x:c r="Q70" s="12" t="str"/>
      <x:c r="R70" s="12" t="str">
        <x:v>quirk: exhaust</x:v>
      </x:c>
      <x:c r="S70" s="12" t="str">
        <x:v>9acfadac34b2</x:v>
      </x:c>
      <x:c r="T70" s="12" t="n">
        <x:f>COUNTIF($S$2:$S$757,S70)</x:f>
        <x:v>1</x:v>
      </x:c>
      <x:c r="U70" s="12" t="str">
        <x:f>IF(T70=1,"OK","DUPLICATE")</x:f>
        <x:v>OK</x:v>
      </x:c>
    </x:row>
    <x:row r="71" ht="39.599998474121094" hidden="0" customHeight="1">
      <x:c r="A71" s="12" t="str">
        <x:v>Bone Axe</x:v>
      </x:c>
      <x:c r="B71" s="12" t="str">
        <x:v>BONE AXE</x:v>
      </x:c>
      <x:c r="C71" s="12" t="str">
        <x:v>weapon</x:v>
      </x:c>
      <x:c r="D71" s="12" t="str">
        <x:v>axe</x:v>
      </x:c>
      <x:c r="E71" s="12" t="str">
        <x:v>early</x:v>
      </x:c>
      <x:c r="F71" s="12" t="str">
        <x:v>uncommon</x:v>
      </x:c>
      <x:c r="G71" s="12" t="str">
        <x:v>Bone Axe — Technique</x:v>
      </x:c>
      <x:c r="H71" s="34" t="n">
        <x:v>2</x:v>
      </x:c>
      <x:c r="I71" s="34" t="str">
        <x:v>skill</x:v>
      </x:c>
      <x:c r="J71" s="34" t="str"/>
      <x:c r="K71" s="34" t="str"/>
      <x:c r="L71" s="34" t="n">
        <x:v>2</x:v>
      </x:c>
      <x:c r="M71" s="12" t="str">
        <x:v>Opens: True</x:v>
      </x:c>
      <x:c r="N71" s="12" t="str">
        <x:v>Heavy, Brutal, Harvest, Setup</x:v>
      </x:c>
      <x:c r="O71" s="12" t="str">
        <x:v>Commit to a heavy chop; +3 break damage but failed fragile harvests worsen by one step. Also gain 2 block.</x:v>
      </x:c>
      <x:c r="P71" s="12" t="str">
        <x:v>Commit to a heavy chop; +3 break damage but failed fragile harvests worsen by one step. Gain 2 block. After use, Exhaust this equipment until the next monster turn.</x:v>
      </x:c>
      <x:c r="Q71" s="12" t="str"/>
      <x:c r="R71" s="12" t="str">
        <x:v>quirk: exhaust</x:v>
      </x:c>
      <x:c r="S71" s="12" t="str">
        <x:v>b075002bfa6b</x:v>
      </x:c>
      <x:c r="T71" s="12" t="n">
        <x:f>COUNTIF($S$2:$S$757,S71)</x:f>
        <x:v>1</x:v>
      </x:c>
      <x:c r="U71" s="12" t="str">
        <x:f>IF(T71=1,"OK","DUPLICATE")</x:f>
        <x:v>OK</x:v>
      </x:c>
    </x:row>
    <x:row r="72" ht="26.399999618530273" hidden="0" customHeight="1">
      <x:c r="A72" s="12" t="str">
        <x:v>Bone Axe</x:v>
      </x:c>
      <x:c r="B72" s="12" t="str">
        <x:v>BONE AXE</x:v>
      </x:c>
      <x:c r="C72" s="12" t="str">
        <x:v>weapon</x:v>
      </x:c>
      <x:c r="D72" s="12" t="str">
        <x:v>axe</x:v>
      </x:c>
      <x:c r="E72" s="12" t="str">
        <x:v>early</x:v>
      </x:c>
      <x:c r="F72" s="12" t="str">
        <x:v>uncommon</x:v>
      </x:c>
      <x:c r="G72" s="12" t="str">
        <x:v>Bone Axe — Payoff</x:v>
      </x:c>
      <x:c r="H72" s="34" t="n">
        <x:v>3</x:v>
      </x:c>
      <x:c r="I72" s="34" t="str">
        <x:v>attack</x:v>
      </x:c>
      <x:c r="J72" s="34" t="n">
        <x:v>9</x:v>
      </x:c>
      <x:c r="K72" s="34" t="n">
        <x:v>4</x:v>
      </x:c>
      <x:c r="L72" s="34" t="str"/>
      <x:c r="M72" s="12" t="str">
        <x:v>Shock 1</x:v>
      </x:c>
      <x:c r="N72" s="12" t="str">
        <x:v>Heavy, Brutal, Harvest, Payoff, WeakPoint</x:v>
      </x:c>
      <x:c r="O72" s="12" t="str">
        <x:v>Deal 9 damage and 4 break damage. If this breaks a weak point, resolve Shock 1 and the exhaust rider.</x:v>
      </x:c>
      <x:c r="P72" s="12" t="str">
        <x:v>Deal 9 damage and 4 break damage. If the weak point breaks, apply Shock 1 and resolve: After use, Exhaust this equipment until the next monster turn.</x:v>
      </x:c>
      <x:c r="Q72" s="12" t="str"/>
      <x:c r="R72" s="12" t="str">
        <x:v>quirk: exhaust | countsAsCounter False, firstCounterFree False</x:v>
      </x:c>
      <x:c r="S72" s="12" t="str">
        <x:v>aaccce4909cf</x:v>
      </x:c>
      <x:c r="T72" s="12" t="n">
        <x:f>COUNTIF($S$2:$S$757,S72)</x:f>
        <x:v>1</x:v>
      </x:c>
      <x:c r="U72" s="12" t="str">
        <x:f>IF(T72=1,"OK","DUPLICATE")</x:f>
        <x:v>OK</x:v>
      </x:c>
    </x:row>
    <x:row r="73" ht="39.599998474121094" hidden="0" customHeight="1">
      <x:c r="A73" s="12" t="str">
        <x:v>Bone Axe (Broken)</x:v>
      </x:c>
      <x:c r="B73" s="12" t="str">
        <x:v>BONE AXE (BROKEN)</x:v>
      </x:c>
      <x:c r="C73" s="12" t="str">
        <x:v>weapon</x:v>
      </x:c>
      <x:c r="D73" s="12" t="str">
        <x:v>axe</x:v>
      </x:c>
      <x:c r="E73" s="12" t="str">
        <x:v>early</x:v>
      </x:c>
      <x:c r="F73" s="12" t="str">
        <x:v>common</x:v>
      </x:c>
      <x:c r="G73" s="12" t="str">
        <x:v>Bone Axe (Broken) — Opening Strike</x:v>
      </x:c>
      <x:c r="H73" s="34" t="n">
        <x:v>2</x:v>
      </x:c>
      <x:c r="I73" s="34" t="str">
        <x:v>attack</x:v>
      </x:c>
      <x:c r="J73" s="34" t="n">
        <x:v>3</x:v>
      </x:c>
      <x:c r="K73" s="34" t="n">
        <x:v>3</x:v>
      </x:c>
      <x:c r="L73" s="34" t="str"/>
      <x:c r="M73" s="12" t="str">
        <x:v>Blind 3 | Target: Settlement</x:v>
      </x:c>
      <x:c r="N73" s="12" t="str">
        <x:v>Heavy, Brutal, Harvest, Attack</x:v>
      </x:c>
      <x:c r="O73" s="12" t="str">
        <x:v>Deal 3 damage. Apply Blind 3 if the target has a Settlement weak point, otherwise gain Marked 1.</x:v>
      </x:c>
      <x:c r="P73" s="12" t="str">
        <x:v>Deal 3 damage with Bone Axe (Broken). Apply Blind 3 against a matching Settlement weak point; otherwise apply Marked 1. On a failed harvest, keep one common fallback material.</x:v>
      </x:c>
      <x:c r="Q73" s="12" t="str"/>
      <x:c r="R73" s="12" t="str">
        <x:v>quirk: salvage</x:v>
      </x:c>
      <x:c r="S73" s="12" t="str">
        <x:v>277209efdf65</x:v>
      </x:c>
      <x:c r="T73" s="12" t="n">
        <x:f>COUNTIF($S$2:$S$757,S73)</x:f>
        <x:v>1</x:v>
      </x:c>
      <x:c r="U73" s="12" t="str">
        <x:f>IF(T73=1,"OK","DUPLICATE")</x:f>
        <x:v>OK</x:v>
      </x:c>
    </x:row>
    <x:row r="74" ht="26.399999618530273" hidden="0" customHeight="1">
      <x:c r="A74" s="12" t="str">
        <x:v>Bone Axe (Broken)</x:v>
      </x:c>
      <x:c r="B74" s="12" t="str">
        <x:v>BONE AXE (BROKEN)</x:v>
      </x:c>
      <x:c r="C74" s="12" t="str">
        <x:v>weapon</x:v>
      </x:c>
      <x:c r="D74" s="12" t="str">
        <x:v>axe</x:v>
      </x:c>
      <x:c r="E74" s="12" t="str">
        <x:v>early</x:v>
      </x:c>
      <x:c r="F74" s="12" t="str">
        <x:v>common</x:v>
      </x:c>
      <x:c r="G74" s="12" t="str">
        <x:v>Bone Axe (Broken) — Technique</x:v>
      </x:c>
      <x:c r="H74" s="34" t="n">
        <x:v>1</x:v>
      </x:c>
      <x:c r="I74" s="34" t="str">
        <x:v>skill</x:v>
      </x:c>
      <x:c r="J74" s="34" t="str"/>
      <x:c r="K74" s="34" t="str"/>
      <x:c r="L74" s="34" t="n">
        <x:v>3</x:v>
      </x:c>
      <x:c r="M74" s="12" t="str">
        <x:v>Opens: True</x:v>
      </x:c>
      <x:c r="N74" s="12" t="str">
        <x:v>Heavy, Brutal, Harvest, Setup</x:v>
      </x:c>
      <x:c r="O74" s="12" t="str">
        <x:v>Commit to a heavy chop; +3 break damage but failed fragile harvests worsen by one step. Also gain 3 block.</x:v>
      </x:c>
      <x:c r="P74" s="12" t="str">
        <x:v>Commit to a heavy chop; +3 break damage but failed fragile harvests worsen by one step. Gain 3 block. On a failed harvest, keep one common fallback material.</x:v>
      </x:c>
      <x:c r="Q74" s="12" t="str"/>
      <x:c r="R74" s="12" t="str">
        <x:v>quirk: salvage</x:v>
      </x:c>
      <x:c r="S74" s="12" t="str">
        <x:v>083ac2b18b5d</x:v>
      </x:c>
      <x:c r="T74" s="12" t="n">
        <x:f>COUNTIF($S$2:$S$757,S74)</x:f>
        <x:v>1</x:v>
      </x:c>
      <x:c r="U74" s="12" t="str">
        <x:f>IF(T74=1,"OK","DUPLICATE")</x:f>
        <x:v>OK</x:v>
      </x:c>
    </x:row>
    <x:row r="75" ht="26.399999618530273" hidden="0" customHeight="1">
      <x:c r="A75" s="12" t="str">
        <x:v>Bone Axe (Broken)</x:v>
      </x:c>
      <x:c r="B75" s="12" t="str">
        <x:v>BONE AXE (BROKEN)</x:v>
      </x:c>
      <x:c r="C75" s="12" t="str">
        <x:v>weapon</x:v>
      </x:c>
      <x:c r="D75" s="12" t="str">
        <x:v>axe</x:v>
      </x:c>
      <x:c r="E75" s="12" t="str">
        <x:v>early</x:v>
      </x:c>
      <x:c r="F75" s="12" t="str">
        <x:v>common</x:v>
      </x:c>
      <x:c r="G75" s="12" t="str">
        <x:v>Bone Axe (Broken) — Payoff</x:v>
      </x:c>
      <x:c r="H75" s="34" t="n">
        <x:v>4</x:v>
      </x:c>
      <x:c r="I75" s="34" t="str">
        <x:v>attack</x:v>
      </x:c>
      <x:c r="J75" s="34" t="n">
        <x:v>5</x:v>
      </x:c>
      <x:c r="K75" s="34" t="n">
        <x:v>4</x:v>
      </x:c>
      <x:c r="L75" s="34" t="str"/>
      <x:c r="M75" s="12" t="str">
        <x:v>Blind 2</x:v>
      </x:c>
      <x:c r="N75" s="12" t="str">
        <x:v>Heavy, Brutal, Harvest, Payoff, WeakPoint</x:v>
      </x:c>
      <x:c r="O75" s="12" t="str">
        <x:v>Deal 5 damage and 4 break damage. If this breaks a weak point, resolve Blind 2 and the salvage rider.</x:v>
      </x:c>
      <x:c r="P75" s="12" t="str">
        <x:v>Deal 5 damage and 4 break damage. If the weak point breaks, apply Blind 2 and resolve: On a failed harvest, keep one common fallback material.</x:v>
      </x:c>
      <x:c r="Q75" s="12" t="str"/>
      <x:c r="R75" s="12" t="str">
        <x:v>quirk: salvage | countsAsCounter False, firstCounterFree False</x:v>
      </x:c>
      <x:c r="S75" s="12" t="str">
        <x:v>154cf3cc335e</x:v>
      </x:c>
      <x:c r="T75" s="12" t="n">
        <x:f>COUNTIF($S$2:$S$757,S75)</x:f>
        <x:v>1</x:v>
      </x:c>
      <x:c r="U75" s="12" t="str">
        <x:f>IF(T75=1,"OK","DUPLICATE")</x:f>
        <x:v>OK</x:v>
      </x:c>
    </x:row>
    <x:row r="76" ht="39.599998474121094" hidden="0" customHeight="1">
      <x:c r="A76" s="12" t="str">
        <x:v>Bone Blade</x:v>
      </x:c>
      <x:c r="B76" s="12" t="str">
        <x:v>BONE BLADE</x:v>
      </x:c>
      <x:c r="C76" s="12" t="str">
        <x:v>weapon</x:v>
      </x:c>
      <x:c r="D76" s="12" t="str">
        <x:v>sword</x:v>
      </x:c>
      <x:c r="E76" s="12" t="str">
        <x:v>early</x:v>
      </x:c>
      <x:c r="F76" s="12" t="str">
        <x:v>uncommon</x:v>
      </x:c>
      <x:c r="G76" s="12" t="str">
        <x:v>Bone Blade — Opening Cut</x:v>
      </x:c>
      <x:c r="H76" s="34" t="n">
        <x:v>1</x:v>
      </x:c>
      <x:c r="I76" s="34" t="str">
        <x:v>attack</x:v>
      </x:c>
      <x:c r="J76" s="34" t="n">
        <x:v>4</x:v>
      </x:c>
      <x:c r="K76" s="34" t="n">
        <x:v>1</x:v>
      </x:c>
      <x:c r="L76" s="34" t="str"/>
      <x:c r="M76" s="12" t="str">
        <x:v>Stagger 1 | Target: Settlement</x:v>
      </x:c>
      <x:c r="N76" s="12" t="str">
        <x:v>Precise, Marking, Counter, Attack</x:v>
      </x:c>
      <x:c r="O76" s="12" t="str">
        <x:v>Deal 4 damage. Apply Stagger 1 if the target has a Settlement weak point, otherwise gain Marked 1.</x:v>
      </x:c>
      <x:c r="P76" s="12" t="str">
        <x:v>Deal 4 damage with Bone Blade. Apply Stagger 1 against a matching Settlement weak point; otherwise apply Marked 1. If this is the only card you play this turn, gain +2 block.</x:v>
      </x:c>
      <x:c r="Q76" s="12" t="str"/>
      <x:c r="R76" s="12" t="str">
        <x:v>quirk: stance</x:v>
      </x:c>
      <x:c r="S76" s="12" t="str">
        <x:v>2ba3433c2098</x:v>
      </x:c>
      <x:c r="T76" s="12" t="n">
        <x:f>COUNTIF($S$2:$S$757,S76)</x:f>
        <x:v>1</x:v>
      </x:c>
      <x:c r="U76" s="12" t="str">
        <x:f>IF(T76=1,"OK","DUPLICATE")</x:f>
        <x:v>OK</x:v>
      </x:c>
    </x:row>
    <x:row r="77" ht="39.599998474121094" hidden="0" customHeight="1">
      <x:c r="A77" s="12" t="str">
        <x:v>Bone Blade</x:v>
      </x:c>
      <x:c r="B77" s="12" t="str">
        <x:v>BONE BLADE</x:v>
      </x:c>
      <x:c r="C77" s="12" t="str">
        <x:v>weapon</x:v>
      </x:c>
      <x:c r="D77" s="12" t="str">
        <x:v>sword</x:v>
      </x:c>
      <x:c r="E77" s="12" t="str">
        <x:v>early</x:v>
      </x:c>
      <x:c r="F77" s="12" t="str">
        <x:v>uncommon</x:v>
      </x:c>
      <x:c r="G77" s="12" t="str">
        <x:v>Bone Blade — Technique</x:v>
      </x:c>
      <x:c r="H77" s="34" t="n">
        <x:v>2</x:v>
      </x:c>
      <x:c r="I77" s="34" t="str">
        <x:v>skill</x:v>
      </x:c>
      <x:c r="J77" s="34" t="str"/>
      <x:c r="K77" s="34" t="str"/>
      <x:c r="L77" s="34" t="n">
        <x:v>1</x:v>
      </x:c>
      <x:c r="M77" s="12" t="str">
        <x:v>Opens: True</x:v>
      </x:c>
      <x:c r="N77" s="12" t="str">
        <x:v>Precise, Marking, Counter, Setup</x:v>
      </x:c>
      <x:c r="O77" s="12" t="str">
        <x:v>Set a parry line; your next Counter with this equipment costs 0 if it is the first Counter this battle. Also gain 1 block.</x:v>
      </x:c>
      <x:c r="P77" s="12" t="str">
        <x:v>Set a parry line; your next Counter with this equipment costs 0 if it is the first Counter this battle. Gain 1 block. If this is the only card you play this turn, gain +2 block.</x:v>
      </x:c>
      <x:c r="Q77" s="12" t="str">
        <x:v>YES</x:v>
      </x:c>
      <x:c r="R77" s="12" t="str">
        <x:v>quirk: stance</x:v>
      </x:c>
      <x:c r="S77" s="12" t="str">
        <x:v>ae230c94b9b0</x:v>
      </x:c>
      <x:c r="T77" s="12" t="n">
        <x:f>COUNTIF($S$2:$S$757,S77)</x:f>
        <x:v>1</x:v>
      </x:c>
      <x:c r="U77" s="12" t="str">
        <x:f>IF(T77=1,"OK","DUPLICATE")</x:f>
        <x:v>OK</x:v>
      </x:c>
    </x:row>
    <x:row r="78" ht="26.399999618530273" hidden="0" customHeight="1">
      <x:c r="A78" s="12" t="str">
        <x:v>Bone Blade</x:v>
      </x:c>
      <x:c r="B78" s="12" t="str">
        <x:v>BONE BLADE</x:v>
      </x:c>
      <x:c r="C78" s="12" t="str">
        <x:v>weapon</x:v>
      </x:c>
      <x:c r="D78" s="12" t="str">
        <x:v>sword</x:v>
      </x:c>
      <x:c r="E78" s="12" t="str">
        <x:v>early</x:v>
      </x:c>
      <x:c r="F78" s="12" t="str">
        <x:v>uncommon</x:v>
      </x:c>
      <x:c r="G78" s="12" t="str">
        <x:v>Bone Blade — Payoff</x:v>
      </x:c>
      <x:c r="H78" s="34" t="n">
        <x:v>2</x:v>
      </x:c>
      <x:c r="I78" s="34" t="str">
        <x:v>reaction</x:v>
      </x:c>
      <x:c r="J78" s="34" t="n">
        <x:v>6</x:v>
      </x:c>
      <x:c r="K78" s="34" t="n">
        <x:v>2</x:v>
      </x:c>
      <x:c r="L78" s="34" t="str"/>
      <x:c r="M78" s="12" t="str">
        <x:v>Stagger 1</x:v>
      </x:c>
      <x:c r="N78" s="12" t="str">
        <x:v>Precise, Marking, Counter, Payoff, WeakPoint</x:v>
      </x:c>
      <x:c r="O78" s="12" t="str">
        <x:v>Deal 6 damage and 2 break damage. If this breaks a weak point, resolve Stagger 1 and the stance rider.</x:v>
      </x:c>
      <x:c r="P78" s="12" t="str">
        <x:v>Deal 6 damage and 2 break damage. If the weak point breaks, apply Stagger 1 and resolve: If this is the only card you play this turn, gain +2 block.</x:v>
      </x:c>
      <x:c r="Q78" s="12" t="str">
        <x:v>YES</x:v>
      </x:c>
      <x:c r="R78" s="12" t="str">
        <x:v>quirk: stance | countsAsCounter True, firstCounterFree True</x:v>
      </x:c>
      <x:c r="S78" s="12" t="str">
        <x:v>2346387c809c</x:v>
      </x:c>
      <x:c r="T78" s="12" t="n">
        <x:f>COUNTIF($S$2:$S$757,S78)</x:f>
        <x:v>1</x:v>
      </x:c>
      <x:c r="U78" s="12" t="str">
        <x:f>IF(T78=1,"OK","DUPLICATE")</x:f>
        <x:v>OK</x:v>
      </x:c>
    </x:row>
    <x:row r="79" ht="39.599998474121094" hidden="0" customHeight="1">
      <x:c r="A79" s="12" t="str">
        <x:v>Bone Blade (Broken)</x:v>
      </x:c>
      <x:c r="B79" s="12" t="str">
        <x:v>BONE BLADE (BROKEN)</x:v>
      </x:c>
      <x:c r="C79" s="12" t="str">
        <x:v>weapon</x:v>
      </x:c>
      <x:c r="D79" s="12" t="str">
        <x:v>sword</x:v>
      </x:c>
      <x:c r="E79" s="12" t="str">
        <x:v>early</x:v>
      </x:c>
      <x:c r="F79" s="12" t="str">
        <x:v>common</x:v>
      </x:c>
      <x:c r="G79" s="12" t="str">
        <x:v>Bone Blade (Broken) — Opening Cut</x:v>
      </x:c>
      <x:c r="H79" s="34" t="n">
        <x:v>2</x:v>
      </x:c>
      <x:c r="I79" s="34" t="str">
        <x:v>attack</x:v>
      </x:c>
      <x:c r="J79" s="34" t="n">
        <x:v>2</x:v>
      </x:c>
      <x:c r="K79" s="34" t="n">
        <x:v>1</x:v>
      </x:c>
      <x:c r="L79" s="34" t="str"/>
      <x:c r="M79" s="12" t="str">
        <x:v>Exposed 2 | Target: Settlement</x:v>
      </x:c>
      <x:c r="N79" s="12" t="str">
        <x:v>Precise, Marking, Counter, Attack</x:v>
      </x:c>
      <x:c r="O79" s="12" t="str">
        <x:v>Deal 2 damage. Apply Exposed 2 if the target has a Settlement weak point, otherwise gain Marked 1.</x:v>
      </x:c>
      <x:c r="P79" s="12" t="str">
        <x:v>Deal 2 damage with Bone Blade (Broken). Apply Exposed 2 against a matching Settlement weak point; otherwise apply Marked 1. If played after blocking, your next Counter gains +2 damage.</x:v>
      </x:c>
      <x:c r="Q79" s="12" t="str"/>
      <x:c r="R79" s="12" t="str">
        <x:v>quirk: counterReady</x:v>
      </x:c>
      <x:c r="S79" s="12" t="str">
        <x:v>cd31d1c5eb5a</x:v>
      </x:c>
      <x:c r="T79" s="12" t="n">
        <x:f>COUNTIF($S$2:$S$757,S79)</x:f>
        <x:v>1</x:v>
      </x:c>
      <x:c r="U79" s="12" t="str">
        <x:f>IF(T79=1,"OK","DUPLICATE")</x:f>
        <x:v>OK</x:v>
      </x:c>
    </x:row>
    <x:row r="80" ht="39.599998474121094" hidden="0" customHeight="1">
      <x:c r="A80" s="12" t="str">
        <x:v>Bone Blade (Broken)</x:v>
      </x:c>
      <x:c r="B80" s="12" t="str">
        <x:v>BONE BLADE (BROKEN)</x:v>
      </x:c>
      <x:c r="C80" s="12" t="str">
        <x:v>weapon</x:v>
      </x:c>
      <x:c r="D80" s="12" t="str">
        <x:v>sword</x:v>
      </x:c>
      <x:c r="E80" s="12" t="str">
        <x:v>early</x:v>
      </x:c>
      <x:c r="F80" s="12" t="str">
        <x:v>common</x:v>
      </x:c>
      <x:c r="G80" s="12" t="str">
        <x:v>Bone Blade (Broken) — Technique</x:v>
      </x:c>
      <x:c r="H80" s="34" t="n">
        <x:v>1</x:v>
      </x:c>
      <x:c r="I80" s="34" t="str">
        <x:v>skill</x:v>
      </x:c>
      <x:c r="J80" s="34" t="str"/>
      <x:c r="K80" s="34" t="str"/>
      <x:c r="L80" s="34" t="n">
        <x:v>2</x:v>
      </x:c>
      <x:c r="M80" s="12" t="str">
        <x:v>Opens: True</x:v>
      </x:c>
      <x:c r="N80" s="12" t="str">
        <x:v>Precise, Marking, Counter, Setup</x:v>
      </x:c>
      <x:c r="O80" s="12" t="str">
        <x:v>Set a parry line; your next Counter with this equipment costs 0 if it is the first Counter this battle. Also gain 2 block.</x:v>
      </x:c>
      <x:c r="P80" s="12" t="str">
        <x:v>Set a parry line; your next Counter with this equipment costs 0 if it is the first Counter this battle. Gain 2 block. If played after blocking, your next Counter gains +2 damage.</x:v>
      </x:c>
      <x:c r="Q80" s="12" t="str">
        <x:v>YES</x:v>
      </x:c>
      <x:c r="R80" s="12" t="str">
        <x:v>quirk: counterReady</x:v>
      </x:c>
      <x:c r="S80" s="12" t="str">
        <x:v>9e925e9c17e9</x:v>
      </x:c>
      <x:c r="T80" s="12" t="n">
        <x:f>COUNTIF($S$2:$S$757,S80)</x:f>
        <x:v>1</x:v>
      </x:c>
      <x:c r="U80" s="12" t="str">
        <x:f>IF(T80=1,"OK","DUPLICATE")</x:f>
        <x:v>OK</x:v>
      </x:c>
    </x:row>
    <x:row r="81" ht="26.399999618530273" hidden="0" customHeight="1">
      <x:c r="A81" s="12" t="str">
        <x:v>Bone Blade (Broken)</x:v>
      </x:c>
      <x:c r="B81" s="12" t="str">
        <x:v>BONE BLADE (BROKEN)</x:v>
      </x:c>
      <x:c r="C81" s="12" t="str">
        <x:v>weapon</x:v>
      </x:c>
      <x:c r="D81" s="12" t="str">
        <x:v>sword</x:v>
      </x:c>
      <x:c r="E81" s="12" t="str">
        <x:v>early</x:v>
      </x:c>
      <x:c r="F81" s="12" t="str">
        <x:v>common</x:v>
      </x:c>
      <x:c r="G81" s="12" t="str">
        <x:v>Bone Blade (Broken) — Payoff</x:v>
      </x:c>
      <x:c r="H81" s="34" t="n">
        <x:v>3</x:v>
      </x:c>
      <x:c r="I81" s="34" t="str">
        <x:v>reaction</x:v>
      </x:c>
      <x:c r="J81" s="34" t="n">
        <x:v>6</x:v>
      </x:c>
      <x:c r="K81" s="34" t="n">
        <x:v>2</x:v>
      </x:c>
      <x:c r="L81" s="34" t="str"/>
      <x:c r="M81" s="12" t="str">
        <x:v>Exposed 1</x:v>
      </x:c>
      <x:c r="N81" s="12" t="str">
        <x:v>Precise, Marking, Counter, Payoff, WeakPoint</x:v>
      </x:c>
      <x:c r="O81" s="12" t="str">
        <x:v>Deal 6 damage and 2 break damage. If this breaks a weak point, resolve Exposed 1 and the counterReady rider.</x:v>
      </x:c>
      <x:c r="P81" s="12" t="str">
        <x:v>Deal 6 damage and 2 break damage. If the weak point breaks, apply Exposed 1 and resolve: If played after blocking, your next Counter gains +2 damage.</x:v>
      </x:c>
      <x:c r="Q81" s="12" t="str">
        <x:v>YES</x:v>
      </x:c>
      <x:c r="R81" s="12" t="str">
        <x:v>quirk: counterReady | countsAsCounter True, firstCounterFree True</x:v>
      </x:c>
      <x:c r="S81" s="12" t="str">
        <x:v>e27c48dd5ff5</x:v>
      </x:c>
      <x:c r="T81" s="12" t="n">
        <x:f>COUNTIF($S$2:$S$757,S81)</x:f>
        <x:v>1</x:v>
      </x:c>
      <x:c r="U81" s="12" t="str">
        <x:f>IF(T81=1,"OK","DUPLICATE")</x:f>
        <x:v>OK</x:v>
      </x:c>
    </x:row>
    <x:row r="82" ht="39.599998474121094" hidden="0" customHeight="1">
      <x:c r="A82" s="12" t="str">
        <x:v>Bone Club</x:v>
      </x:c>
      <x:c r="B82" s="12" t="str">
        <x:v>BONE CLUB</x:v>
      </x:c>
      <x:c r="C82" s="12" t="str">
        <x:v>weapon</x:v>
      </x:c>
      <x:c r="D82" s="12" t="str">
        <x:v>club</x:v>
      </x:c>
      <x:c r="E82" s="12" t="str">
        <x:v>early</x:v>
      </x:c>
      <x:c r="F82" s="12" t="str">
        <x:v>uncommon</x:v>
      </x:c>
      <x:c r="G82" s="12" t="str">
        <x:v>Bone Club — Opening Strike</x:v>
      </x:c>
      <x:c r="H82" s="34" t="n">
        <x:v>1</x:v>
      </x:c>
      <x:c r="I82" s="34" t="str">
        <x:v>attack</x:v>
      </x:c>
      <x:c r="J82" s="34" t="n">
        <x:v>4</x:v>
      </x:c>
      <x:c r="K82" s="34" t="n">
        <x:v>4</x:v>
      </x:c>
      <x:c r="L82" s="34" t="str"/>
      <x:c r="M82" s="12" t="str">
        <x:v>Marked 3 | Target: Settlement</x:v>
      </x:c>
      <x:c r="N82" s="12" t="str">
        <x:v>Heavy, Counter, Guardbreaker, Attack</x:v>
      </x:c>
      <x:c r="O82" s="12" t="str">
        <x:v>Deal 4 damage. Apply Marked 3 if the target has a Settlement weak point, otherwise gain Marked 1.</x:v>
      </x:c>
      <x:c r="P82" s="12" t="str">
        <x:v>Deal 4 damage with Bone Club. Apply Marked 3 against a matching Settlement weak point; otherwise apply Marked 1. If you play a third attack this round, gain Panic 1.</x:v>
      </x:c>
      <x:c r="Q82" s="12" t="str"/>
      <x:c r="R82" s="12" t="str">
        <x:v>quirk: frenzyCheck</x:v>
      </x:c>
      <x:c r="S82" s="12" t="str">
        <x:v>61324e2f47ae</x:v>
      </x:c>
      <x:c r="T82" s="12" t="n">
        <x:f>COUNTIF($S$2:$S$757,S82)</x:f>
        <x:v>1</x:v>
      </x:c>
      <x:c r="U82" s="12" t="str">
        <x:f>IF(T82=1,"OK","DUPLICATE")</x:f>
        <x:v>OK</x:v>
      </x:c>
    </x:row>
    <x:row r="83" ht="26.399999618530273" hidden="0" customHeight="1">
      <x:c r="A83" s="12" t="str">
        <x:v>Bone Club</x:v>
      </x:c>
      <x:c r="B83" s="12" t="str">
        <x:v>BONE CLUB</x:v>
      </x:c>
      <x:c r="C83" s="12" t="str">
        <x:v>weapon</x:v>
      </x:c>
      <x:c r="D83" s="12" t="str">
        <x:v>club</x:v>
      </x:c>
      <x:c r="E83" s="12" t="str">
        <x:v>early</x:v>
      </x:c>
      <x:c r="F83" s="12" t="str">
        <x:v>uncommon</x:v>
      </x:c>
      <x:c r="G83" s="12" t="str">
        <x:v>Bone Club — Technique</x:v>
      </x:c>
      <x:c r="H83" s="34" t="n">
        <x:v>2</x:v>
      </x:c>
      <x:c r="I83" s="34" t="str">
        <x:v>skill</x:v>
      </x:c>
      <x:c r="J83" s="34" t="str"/>
      <x:c r="K83" s="34" t="str"/>
      <x:c r="L83" s="34" t="n">
        <x:v>3</x:v>
      </x:c>
      <x:c r="M83" s="12" t="str">
        <x:v>Opens: True</x:v>
      </x:c>
      <x:c r="N83" s="12" t="str">
        <x:v>Heavy, Counter, Guardbreaker, Setup</x:v>
      </x:c>
      <x:c r="O83" s="12" t="str">
        <x:v>Rattle the quarry; apply Stagger 2 and gain Guarded 1. Also gain 3 block.</x:v>
      </x:c>
      <x:c r="P83" s="12" t="str">
        <x:v>Rattle the quarry; apply Stagger 2 and gain Guarded 1. Gain 3 block. If you play a third attack this round, gain Panic 1.</x:v>
      </x:c>
      <x:c r="Q83" s="12" t="str">
        <x:v>YES</x:v>
      </x:c>
      <x:c r="R83" s="12" t="str">
        <x:v>quirk: frenzyCheck</x:v>
      </x:c>
      <x:c r="S83" s="12" t="str">
        <x:v>219a29906449</x:v>
      </x:c>
      <x:c r="T83" s="12" t="n">
        <x:f>COUNTIF($S$2:$S$757,S83)</x:f>
        <x:v>1</x:v>
      </x:c>
      <x:c r="U83" s="12" t="str">
        <x:f>IF(T83=1,"OK","DUPLICATE")</x:f>
        <x:v>OK</x:v>
      </x:c>
    </x:row>
    <x:row r="84" ht="26.399999618530273" hidden="0" customHeight="1">
      <x:c r="A84" s="12" t="str">
        <x:v>Bone Club</x:v>
      </x:c>
      <x:c r="B84" s="12" t="str">
        <x:v>BONE CLUB</x:v>
      </x:c>
      <x:c r="C84" s="12" t="str">
        <x:v>weapon</x:v>
      </x:c>
      <x:c r="D84" s="12" t="str">
        <x:v>club</x:v>
      </x:c>
      <x:c r="E84" s="12" t="str">
        <x:v>early</x:v>
      </x:c>
      <x:c r="F84" s="12" t="str">
        <x:v>uncommon</x:v>
      </x:c>
      <x:c r="G84" s="12" t="str">
        <x:v>Bone Club — Payoff</x:v>
      </x:c>
      <x:c r="H84" s="34" t="n">
        <x:v>2</x:v>
      </x:c>
      <x:c r="I84" s="34" t="str">
        <x:v>reaction</x:v>
      </x:c>
      <x:c r="J84" s="34" t="n">
        <x:v>8</x:v>
      </x:c>
      <x:c r="K84" s="34" t="n">
        <x:v>5</x:v>
      </x:c>
      <x:c r="L84" s="34" t="str"/>
      <x:c r="M84" s="12" t="str">
        <x:v>Marked 2</x:v>
      </x:c>
      <x:c r="N84" s="12" t="str">
        <x:v>Heavy, Counter, Guardbreaker, Payoff, WeakPoint</x:v>
      </x:c>
      <x:c r="O84" s="12" t="str">
        <x:v>Deal 8 damage and 5 break damage. If this breaks a weak point, resolve Marked 2 and the frenzyCheck rider.</x:v>
      </x:c>
      <x:c r="P84" s="12" t="str">
        <x:v>Deal 8 damage and 5 break damage. If the weak point breaks, apply Marked 2 and resolve: If you play a third attack this round, gain Panic 1.</x:v>
      </x:c>
      <x:c r="Q84" s="12" t="str">
        <x:v>YES</x:v>
      </x:c>
      <x:c r="R84" s="12" t="str">
        <x:v>quirk: frenzyCheck | countsAsCounter True, firstCounterFree True</x:v>
      </x:c>
      <x:c r="S84" s="12" t="str">
        <x:v>ebe9df1f92a0</x:v>
      </x:c>
      <x:c r="T84" s="12" t="n">
        <x:f>COUNTIF($S$2:$S$757,S84)</x:f>
        <x:v>1</x:v>
      </x:c>
      <x:c r="U84" s="12" t="str">
        <x:f>IF(T84=1,"OK","DUPLICATE")</x:f>
        <x:v>OK</x:v>
      </x:c>
    </x:row>
    <x:row r="85" ht="39.599998474121094" hidden="0" customHeight="1">
      <x:c r="A85" s="12" t="str">
        <x:v>Bone Knife</x:v>
      </x:c>
      <x:c r="B85" s="12" t="str">
        <x:v>BONE DAGGER</x:v>
      </x:c>
      <x:c r="C85" s="12" t="str">
        <x:v>weapon</x:v>
      </x:c>
      <x:c r="D85" s="12" t="str">
        <x:v>dagger</x:v>
      </x:c>
      <x:c r="E85" s="12" t="str">
        <x:v>early</x:v>
      </x:c>
      <x:c r="F85" s="12" t="str">
        <x:v>uncommon</x:v>
      </x:c>
      <x:c r="G85" s="12" t="str">
        <x:v>Bone Knife — Opening Cut</x:v>
      </x:c>
      <x:c r="H85" s="34" t="n">
        <x:v>0</x:v>
      </x:c>
      <x:c r="I85" s="34" t="str">
        <x:v>attack</x:v>
      </x:c>
      <x:c r="J85" s="34" t="n">
        <x:v>2</x:v>
      </x:c>
      <x:c r="K85" s="34" t="n">
        <x:v>0</x:v>
      </x:c>
      <x:c r="L85" s="34" t="str"/>
      <x:c r="M85" s="12" t="str">
        <x:v>Bleed 1 | Target: Settlement</x:v>
      </x:c>
      <x:c r="N85" s="12" t="str">
        <x:v>Quick, Precise, Harvest, Attack</x:v>
      </x:c>
      <x:c r="O85" s="12" t="str">
        <x:v>Deal 2 damage. Apply Bleed 1 if the target has a Settlement weak point, otherwise gain Marked 1.</x:v>
      </x:c>
      <x:c r="P85" s="12" t="str">
        <x:v>Deal 2 damage with Bone Knife. Apply Bleed 1 against a matching Settlement weak point; otherwise apply Marked 1. If you deal no HP damage, gain +2 break damage.</x:v>
      </x:c>
      <x:c r="Q85" s="12" t="str"/>
      <x:c r="R85" s="12" t="str">
        <x:v>quirk: careful</x:v>
      </x:c>
      <x:c r="S85" s="12" t="str">
        <x:v>0a022595a433</x:v>
      </x:c>
      <x:c r="T85" s="12" t="n">
        <x:f>COUNTIF($S$2:$S$757,S85)</x:f>
        <x:v>1</x:v>
      </x:c>
      <x:c r="U85" s="12" t="str">
        <x:f>IF(T85=1,"OK","DUPLICATE")</x:f>
        <x:v>OK</x:v>
      </x:c>
    </x:row>
    <x:row r="86" ht="26.399999618530273" hidden="0" customHeight="1">
      <x:c r="A86" s="12" t="str">
        <x:v>Bone Knife</x:v>
      </x:c>
      <x:c r="B86" s="12" t="str">
        <x:v>BONE DAGGER</x:v>
      </x:c>
      <x:c r="C86" s="12" t="str">
        <x:v>weapon</x:v>
      </x:c>
      <x:c r="D86" s="12" t="str">
        <x:v>dagger</x:v>
      </x:c>
      <x:c r="E86" s="12" t="str">
        <x:v>early</x:v>
      </x:c>
      <x:c r="F86" s="12" t="str">
        <x:v>uncommon</x:v>
      </x:c>
      <x:c r="G86" s="12" t="str">
        <x:v>Bone Knife — Technique</x:v>
      </x:c>
      <x:c r="H86" s="34" t="n">
        <x:v>1</x:v>
      </x:c>
      <x:c r="I86" s="34" t="str">
        <x:v>skill</x:v>
      </x:c>
      <x:c r="J86" s="34" t="str"/>
      <x:c r="K86" s="34" t="str"/>
      <x:c r="L86" s="34" t="n">
        <x:v>1</x:v>
      </x:c>
      <x:c r="M86" s="12" t="str">
        <x:v>Opens: True</x:v>
      </x:c>
      <x:c r="N86" s="12" t="str">
        <x:v>Quick, Precise, Harvest, Setup</x:v>
      </x:c>
      <x:c r="O86" s="12" t="str">
        <x:v>Expose a fragile weak point; next knife attack gains +2 break damage. Also gain 1 block.</x:v>
      </x:c>
      <x:c r="P86" s="12" t="str">
        <x:v>Expose a fragile weak point; next knife attack gains +2 break damage. Gain 1 block. If you deal no HP damage, gain +2 break damage.</x:v>
      </x:c>
      <x:c r="Q86" s="12" t="str"/>
      <x:c r="R86" s="12" t="str">
        <x:v>quirk: careful</x:v>
      </x:c>
      <x:c r="S86" s="12" t="str">
        <x:v>2a701abc82e8</x:v>
      </x:c>
      <x:c r="T86" s="12" t="n">
        <x:f>COUNTIF($S$2:$S$757,S86)</x:f>
        <x:v>1</x:v>
      </x:c>
      <x:c r="U86" s="12" t="str">
        <x:f>IF(T86=1,"OK","DUPLICATE")</x:f>
        <x:v>OK</x:v>
      </x:c>
    </x:row>
    <x:row r="87" ht="26.399999618530273" hidden="0" customHeight="1">
      <x:c r="A87" s="12" t="str">
        <x:v>Bone Knife</x:v>
      </x:c>
      <x:c r="B87" s="12" t="str">
        <x:v>BONE DAGGER</x:v>
      </x:c>
      <x:c r="C87" s="12" t="str">
        <x:v>weapon</x:v>
      </x:c>
      <x:c r="D87" s="12" t="str">
        <x:v>dagger</x:v>
      </x:c>
      <x:c r="E87" s="12" t="str">
        <x:v>early</x:v>
      </x:c>
      <x:c r="F87" s="12" t="str">
        <x:v>uncommon</x:v>
      </x:c>
      <x:c r="G87" s="12" t="str">
        <x:v>Bone Knife — Payoff</x:v>
      </x:c>
      <x:c r="H87" s="34" t="n">
        <x:v>2</x:v>
      </x:c>
      <x:c r="I87" s="34" t="str">
        <x:v>attack</x:v>
      </x:c>
      <x:c r="J87" s="34" t="n">
        <x:v>3</x:v>
      </x:c>
      <x:c r="K87" s="34" t="n">
        <x:v>1</x:v>
      </x:c>
      <x:c r="L87" s="34" t="str"/>
      <x:c r="M87" s="12" t="str">
        <x:v>Bleed 1</x:v>
      </x:c>
      <x:c r="N87" s="12" t="str">
        <x:v>Quick, Precise, Harvest, Payoff, WeakPoint</x:v>
      </x:c>
      <x:c r="O87" s="12" t="str">
        <x:v>Deal 3 damage and 1 break damage. If this breaks a weak point, resolve Bleed 1 and the careful rider.</x:v>
      </x:c>
      <x:c r="P87" s="12" t="str">
        <x:v>Deal 3 damage and 1 break damage. If the weak point breaks, apply Bleed 1 and resolve: If you deal no HP damage, gain +2 break damage.</x:v>
      </x:c>
      <x:c r="Q87" s="12" t="str"/>
      <x:c r="R87" s="12" t="str">
        <x:v>quirk: careful | countsAsCounter False, firstCounterFree False</x:v>
      </x:c>
      <x:c r="S87" s="12" t="str">
        <x:v>1dad3a855a9a</x:v>
      </x:c>
      <x:c r="T87" s="12" t="n">
        <x:f>COUNTIF($S$2:$S$757,S87)</x:f>
        <x:v>1</x:v>
      </x:c>
      <x:c r="U87" s="12" t="str">
        <x:f>IF(T87=1,"OK","DUPLICATE")</x:f>
        <x:v>OK</x:v>
      </x:c>
    </x:row>
    <x:row r="88" ht="39.599998474121094" hidden="0" customHeight="1">
      <x:c r="A88" s="12" t="str">
        <x:v>Bone Darts</x:v>
      </x:c>
      <x:c r="B88" s="12" t="str">
        <x:v>BONE DARTS</x:v>
      </x:c>
      <x:c r="C88" s="12" t="str">
        <x:v>weapon</x:v>
      </x:c>
      <x:c r="D88" s="12" t="str">
        <x:v>bow</x:v>
      </x:c>
      <x:c r="E88" s="12" t="str">
        <x:v>early</x:v>
      </x:c>
      <x:c r="F88" s="12" t="str">
        <x:v>uncommon</x:v>
      </x:c>
      <x:c r="G88" s="12" t="str">
        <x:v>Bone Darts — Opening Strike</x:v>
      </x:c>
      <x:c r="H88" s="34" t="n">
        <x:v>1</x:v>
      </x:c>
      <x:c r="I88" s="34" t="str">
        <x:v>attack</x:v>
      </x:c>
      <x:c r="J88" s="34" t="n">
        <x:v>3</x:v>
      </x:c>
      <x:c r="K88" s="34" t="n">
        <x:v>2</x:v>
      </x:c>
      <x:c r="L88" s="34" t="str"/>
      <x:c r="M88" s="12" t="str">
        <x:v>Burn 2 | Target: Settlement</x:v>
      </x:c>
      <x:c r="N88" s="12" t="str">
        <x:v>Ranged, Marking, Precise, Attack</x:v>
      </x:c>
      <x:c r="O88" s="12" t="str">
        <x:v>Deal 3 damage. Apply Burn 2 if the target has a Settlement weak point, otherwise gain Marked 1.</x:v>
      </x:c>
      <x:c r="P88" s="12" t="str">
        <x:v>Deal 3 damage with Bone Darts. Apply Burn 2 against a matching Settlement weak point; otherwise apply Marked 1. The quarry targets this survivor next unless another card redirects it.</x:v>
      </x:c>
      <x:c r="Q88" s="12" t="str"/>
      <x:c r="R88" s="12" t="str">
        <x:v>quirk: bait</x:v>
      </x:c>
      <x:c r="S88" s="12" t="str">
        <x:v>f09f0f733864</x:v>
      </x:c>
      <x:c r="T88" s="12" t="n">
        <x:f>COUNTIF($S$2:$S$757,S88)</x:f>
        <x:v>1</x:v>
      </x:c>
      <x:c r="U88" s="12" t="str">
        <x:f>IF(T88=1,"OK","DUPLICATE")</x:f>
        <x:v>OK</x:v>
      </x:c>
    </x:row>
    <x:row r="89" ht="26.399999618530273" hidden="0" customHeight="1">
      <x:c r="A89" s="12" t="str">
        <x:v>Bone Darts</x:v>
      </x:c>
      <x:c r="B89" s="12" t="str">
        <x:v>BONE DARTS</x:v>
      </x:c>
      <x:c r="C89" s="12" t="str">
        <x:v>weapon</x:v>
      </x:c>
      <x:c r="D89" s="12" t="str">
        <x:v>bow</x:v>
      </x:c>
      <x:c r="E89" s="12" t="str">
        <x:v>early</x:v>
      </x:c>
      <x:c r="F89" s="12" t="str">
        <x:v>uncommon</x:v>
      </x:c>
      <x:c r="G89" s="12" t="str">
        <x:v>Bone Darts — Technique</x:v>
      </x:c>
      <x:c r="H89" s="34" t="n">
        <x:v>2</x:v>
      </x:c>
      <x:c r="I89" s="34" t="str">
        <x:v>skill</x:v>
      </x:c>
      <x:c r="J89" s="34" t="str"/>
      <x:c r="K89" s="34" t="str"/>
      <x:c r="L89" s="34" t="n">
        <x:v>2</x:v>
      </x:c>
      <x:c r="M89" s="12" t="str">
        <x:v>Opens: True</x:v>
      </x:c>
      <x:c r="N89" s="12" t="str">
        <x:v>Ranged, Marking, Precise, Setup</x:v>
      </x:c>
      <x:c r="O89" s="12" t="str">
        <x:v>Mark a wing, eye or distant weak point; ranged attacks ignore Guarded 1. Also gain 2 block.</x:v>
      </x:c>
      <x:c r="P89" s="12" t="str">
        <x:v>Mark a wing, eye or distant weak point; ranged attacks ignore Guarded 1. Gain 2 block. The quarry targets this survivor next unless another card redirects it.</x:v>
      </x:c>
      <x:c r="Q89" s="12" t="str"/>
      <x:c r="R89" s="12" t="str">
        <x:v>quirk: bait</x:v>
      </x:c>
      <x:c r="S89" s="12" t="str">
        <x:v>9dada2347597</x:v>
      </x:c>
      <x:c r="T89" s="12" t="n">
        <x:f>COUNTIF($S$2:$S$757,S89)</x:f>
        <x:v>1</x:v>
      </x:c>
      <x:c r="U89" s="12" t="str">
        <x:f>IF(T89=1,"OK","DUPLICATE")</x:f>
        <x:v>OK</x:v>
      </x:c>
    </x:row>
    <x:row r="90" ht="26.399999618530273" hidden="0" customHeight="1">
      <x:c r="A90" s="12" t="str">
        <x:v>Bone Darts</x:v>
      </x:c>
      <x:c r="B90" s="12" t="str">
        <x:v>BONE DARTS</x:v>
      </x:c>
      <x:c r="C90" s="12" t="str">
        <x:v>weapon</x:v>
      </x:c>
      <x:c r="D90" s="12" t="str">
        <x:v>bow</x:v>
      </x:c>
      <x:c r="E90" s="12" t="str">
        <x:v>early</x:v>
      </x:c>
      <x:c r="F90" s="12" t="str">
        <x:v>uncommon</x:v>
      </x:c>
      <x:c r="G90" s="12" t="str">
        <x:v>Bone Darts — Payoff</x:v>
      </x:c>
      <x:c r="H90" s="34" t="n">
        <x:v>2</x:v>
      </x:c>
      <x:c r="I90" s="34" t="str">
        <x:v>attack</x:v>
      </x:c>
      <x:c r="J90" s="34" t="n">
        <x:v>5</x:v>
      </x:c>
      <x:c r="K90" s="34" t="n">
        <x:v>3</x:v>
      </x:c>
      <x:c r="L90" s="34" t="str"/>
      <x:c r="M90" s="12" t="str">
        <x:v>Burn 1</x:v>
      </x:c>
      <x:c r="N90" s="12" t="str">
        <x:v>Ranged, Marking, Precise, Payoff, WeakPoint</x:v>
      </x:c>
      <x:c r="O90" s="12" t="str">
        <x:v>Deal 5 damage and 3 break damage. If this breaks a weak point, resolve Burn 1 and the bait rider.</x:v>
      </x:c>
      <x:c r="P90" s="12" t="str">
        <x:v>Deal 5 damage and 3 break damage. If the weak point breaks, apply Burn 1 and resolve: The quarry targets this survivor next unless another card redirects it.</x:v>
      </x:c>
      <x:c r="Q90" s="12" t="str"/>
      <x:c r="R90" s="12" t="str">
        <x:v>quirk: bait | countsAsCounter False, firstCounterFree False</x:v>
      </x:c>
      <x:c r="S90" s="12" t="str">
        <x:v>5797b14101ca</x:v>
      </x:c>
      <x:c r="T90" s="12" t="n">
        <x:f>COUNTIF($S$2:$S$757,S90)</x:f>
        <x:v>1</x:v>
      </x:c>
      <x:c r="U90" s="12" t="str">
        <x:f>IF(T90=1,"OK","DUPLICATE")</x:f>
        <x:v>OK</x:v>
      </x:c>
    </x:row>
    <x:row r="91" ht="39.599998474121094" hidden="0" customHeight="1">
      <x:c r="A91" s="12" t="str">
        <x:v>Bone Darts (Broken)</x:v>
      </x:c>
      <x:c r="B91" s="12" t="str">
        <x:v>BONE DARTS (BROKEN)</x:v>
      </x:c>
      <x:c r="C91" s="12" t="str">
        <x:v>tool</x:v>
      </x:c>
      <x:c r="D91" s="12" t="str">
        <x:v>tool</x:v>
      </x:c>
      <x:c r="E91" s="12" t="str">
        <x:v>early</x:v>
      </x:c>
      <x:c r="F91" s="12" t="str">
        <x:v>common</x:v>
      </x:c>
      <x:c r="G91" s="12" t="str">
        <x:v>Bone Darts (Broken) — Use</x:v>
      </x:c>
      <x:c r="H91" s="34" t="n">
        <x:v>1</x:v>
      </x:c>
      <x:c r="I91" s="34" t="str">
        <x:v>skill</x:v>
      </x:c>
      <x:c r="J91" s="34" t="str"/>
      <x:c r="K91" s="34" t="str"/>
      <x:c r="L91" s="34" t="str"/>
      <x:c r="M91" s="12" t="str">
        <x:v>Poison 2</x:v>
      </x:c>
      <x:c r="N91" s="12" t="str">
        <x:v>Tool, Harvest, Retreat</x:v>
      </x:c>
      <x:c r="O91" s="12" t="str">
        <x:v>Gain +3 to the next harvest, retreat, or weak-point test. If it fails, apply Poison 2 to the quarry or clear it from a survivor.</x:v>
      </x:c>
      <x:c r="P91" s="12" t="str">
        <x:v>Gain +3 to the next harvest, retreat, or weak-point test linked to Bone Smith. On failure, either apply Poison 2 to the quarry or clear that status from a survivor. You may gain Panic 1 to increase the listed number by 2.</x:v>
      </x:c>
      <x:c r="Q91" s="12" t="str"/>
      <x:c r="R91" s="12" t="str">
        <x:v>quirk: panicBrake</x:v>
      </x:c>
      <x:c r="S91" s="12" t="str">
        <x:v>779dc9ca602e</x:v>
      </x:c>
      <x:c r="T91" s="12" t="n">
        <x:f>COUNTIF($S$2:$S$757,S91)</x:f>
        <x:v>1</x:v>
      </x:c>
      <x:c r="U91" s="12" t="str">
        <x:f>IF(T91=1,"OK","DUPLICATE")</x:f>
        <x:v>OK</x:v>
      </x:c>
    </x:row>
    <x:row r="92" ht="39.599998474121094" hidden="0" customHeight="1">
      <x:c r="A92" s="12" t="str">
        <x:v>Bone Darts (Broken)</x:v>
      </x:c>
      <x:c r="B92" s="12" t="str">
        <x:v>BONE DARTS (BROKEN)</x:v>
      </x:c>
      <x:c r="C92" s="12" t="str">
        <x:v>tool</x:v>
      </x:c>
      <x:c r="D92" s="12" t="str">
        <x:v>tool</x:v>
      </x:c>
      <x:c r="E92" s="12" t="str">
        <x:v>early</x:v>
      </x:c>
      <x:c r="F92" s="12" t="str">
        <x:v>common</x:v>
      </x:c>
      <x:c r="G92" s="12" t="str">
        <x:v>Bone Darts (Broken) — Contingency</x:v>
      </x:c>
      <x:c r="H92" s="34" t="n">
        <x:v>1</x:v>
      </x:c>
      <x:c r="I92" s="34" t="str">
        <x:v>reaction</x:v>
      </x:c>
      <x:c r="J92" s="34" t="str"/>
      <x:c r="K92" s="34" t="str"/>
      <x:c r="L92" s="34" t="str"/>
      <x:c r="M92" s="12" t="str"/>
      <x:c r="N92" s="12" t="str">
        <x:v>Tool, Harvest, Retreat</x:v>
      </x:c>
      <x:c r="O92" s="12" t="str">
        <x:v>When a hunt or monster consequence is previewed, reduce it by 3; on retreat, preserve 1 gathered resource.</x:v>
      </x:c>
      <x:c r="P92" s="12" t="str">
        <x:v>When a hunt event, retreat roll, or monster consequence is previewed, reduce the penalty by 3. If retreating, preserve 1 gathered resource. You may gain Panic 1 to increase the listed number by 2.</x:v>
      </x:c>
      <x:c r="Q92" s="12" t="str"/>
      <x:c r="R92" s="12" t="str">
        <x:v>quirk: panicBrake</x:v>
      </x:c>
      <x:c r="S92" s="12" t="str">
        <x:v>dac37fb44041</x:v>
      </x:c>
      <x:c r="T92" s="12" t="n">
        <x:f>COUNTIF($S$2:$S$757,S92)</x:f>
        <x:v>1</x:v>
      </x:c>
      <x:c r="U92" s="12" t="str">
        <x:f>IF(T92=1,"OK","DUPLICATE")</x:f>
        <x:v>OK</x:v>
      </x:c>
    </x:row>
    <x:row r="93" ht="39.599998474121094" hidden="0" customHeight="1">
      <x:c r="A93" s="12" t="str">
        <x:v>Bone Earrings</x:v>
      </x:c>
      <x:c r="B93" s="12" t="str">
        <x:v>BONE EARRINGS</x:v>
      </x:c>
      <x:c r="C93" s="12" t="str">
        <x:v>charm</x:v>
      </x:c>
      <x:c r="D93" s="12" t="str">
        <x:v>charm</x:v>
      </x:c>
      <x:c r="E93" s="12" t="str">
        <x:v>early</x:v>
      </x:c>
      <x:c r="F93" s="12" t="str">
        <x:v>uncommon</x:v>
      </x:c>
      <x:c r="G93" s="12" t="str">
        <x:v>Bone Earrings — Omen</x:v>
      </x:c>
      <x:c r="H93" s="34" t="n">
        <x:v>0</x:v>
      </x:c>
      <x:c r="I93" s="34" t="str">
        <x:v>skill</x:v>
      </x:c>
      <x:c r="J93" s="34" t="str"/>
      <x:c r="K93" s="34" t="str"/>
      <x:c r="L93" s="34" t="str"/>
      <x:c r="M93" s="12" t="str"/>
      <x:c r="N93" s="12" t="str">
        <x:v>Charm, Passive, Survival</x:v>
      </x:c>
      <x:c r="O93" s="12" t="str">
        <x:v>Peek at the next quarry card or weak-point reward. You may mark it; if you do, gain Panic 1.</x:v>
      </x:c>
      <x:c r="P93" s="12" t="str">
        <x:v>Peek at the next quarry AI, hit-location or weak-point reward, depending on screen. You may mark it. If marked, gain Panic 1. If you have any wound, add +1 damage but gain Panic 1.</x:v>
      </x:c>
      <x:c r="Q93" s="12" t="str"/>
      <x:c r="R93" s="12" t="str">
        <x:v>quirk: wounded</x:v>
      </x:c>
      <x:c r="S93" s="12" t="str">
        <x:v>fa9899313c27</x:v>
      </x:c>
      <x:c r="T93" s="12" t="n">
        <x:f>COUNTIF($S$2:$S$757,S93)</x:f>
        <x:v>1</x:v>
      </x:c>
      <x:c r="U93" s="12" t="str">
        <x:f>IF(T93=1,"OK","DUPLICATE")</x:f>
        <x:v>OK</x:v>
      </x:c>
    </x:row>
    <x:row r="94" ht="39.599998474121094" hidden="0" customHeight="1">
      <x:c r="A94" s="12" t="str">
        <x:v>Bone Earrings</x:v>
      </x:c>
      <x:c r="B94" s="12" t="str">
        <x:v>BONE EARRINGS</x:v>
      </x:c>
      <x:c r="C94" s="12" t="str">
        <x:v>charm</x:v>
      </x:c>
      <x:c r="D94" s="12" t="str">
        <x:v>charm</x:v>
      </x:c>
      <x:c r="E94" s="12" t="str">
        <x:v>early</x:v>
      </x:c>
      <x:c r="F94" s="12" t="str">
        <x:v>uncommon</x:v>
      </x:c>
      <x:c r="G94" s="12" t="str">
        <x:v>Bone Earrings — Glimmer</x:v>
      </x:c>
      <x:c r="H94" s="34" t="n">
        <x:v>0</x:v>
      </x:c>
      <x:c r="I94" s="34" t="str">
        <x:v>reaction</x:v>
      </x:c>
      <x:c r="J94" s="34" t="str"/>
      <x:c r="K94" s="34" t="str"/>
      <x:c r="L94" s="34" t="str"/>
      <x:c r="M94" s="12" t="str"/>
      <x:c r="N94" s="12" t="str">
        <x:v>Charm, Passive, Survival</x:v>
      </x:c>
      <x:c r="O94" s="12" t="str">
        <x:v>When Snared or a hunt consequence would affect you, reduce it by 1; exhaust this charm.</x:v>
      </x:c>
      <x:c r="P94" s="12" t="str">
        <x:v>When Snared, Panic, or a hunt consequence would affect this survivor, reduce it by 1; exhaust this charm until the next settlement phase. If you have any wound, add +1 damage but gain Panic 1.</x:v>
      </x:c>
      <x:c r="Q94" s="12" t="str"/>
      <x:c r="R94" s="12" t="str">
        <x:v>quirk: wounded</x:v>
      </x:c>
      <x:c r="S94" s="12" t="str">
        <x:v>731ebc4a9da9</x:v>
      </x:c>
      <x:c r="T94" s="12" t="n">
        <x:f>COUNTIF($S$2:$S$757,S94)</x:f>
        <x:v>1</x:v>
      </x:c>
      <x:c r="U94" s="12" t="str">
        <x:f>IF(T94=1,"OK","DUPLICATE")</x:f>
        <x:v>OK</x:v>
      </x:c>
    </x:row>
    <x:row r="95" ht="39.599998474121094" hidden="0" customHeight="1">
      <x:c r="A95" s="12" t="str">
        <x:v>Bone Pickaxe</x:v>
      </x:c>
      <x:c r="B95" s="12" t="str">
        <x:v>BONE PICKAXE</x:v>
      </x:c>
      <x:c r="C95" s="12" t="str">
        <x:v>weapon</x:v>
      </x:c>
      <x:c r="D95" s="12" t="str">
        <x:v>axe</x:v>
      </x:c>
      <x:c r="E95" s="12" t="str">
        <x:v>early</x:v>
      </x:c>
      <x:c r="F95" s="12" t="str">
        <x:v>uncommon</x:v>
      </x:c>
      <x:c r="G95" s="12" t="str">
        <x:v>Bone Pickaxe — Opening Strike</x:v>
      </x:c>
      <x:c r="H95" s="34" t="n">
        <x:v>1</x:v>
      </x:c>
      <x:c r="I95" s="34" t="str">
        <x:v>attack</x:v>
      </x:c>
      <x:c r="J95" s="34" t="n">
        <x:v>4</x:v>
      </x:c>
      <x:c r="K95" s="34" t="n">
        <x:v>3</x:v>
      </x:c>
      <x:c r="L95" s="34" t="str"/>
      <x:c r="M95" s="12" t="str">
        <x:v>Shock 2 | Target: Settlement</x:v>
      </x:c>
      <x:c r="N95" s="12" t="str">
        <x:v>Heavy, Brutal, Harvest, Attack</x:v>
      </x:c>
      <x:c r="O95" s="12" t="str">
        <x:v>Deal 4 damage. Apply Shock 2 if the target has a Settlement weak point, otherwise gain Marked 1.</x:v>
      </x:c>
      <x:c r="P95" s="12" t="str">
        <x:v>Deal 4 damage with Bone Pickaxe. Apply Shock 2 against a matching Settlement weak point; otherwise apply Marked 1. If this is your first card this turn, reduce its cost by 1, minimum 0.</x:v>
      </x:c>
      <x:c r="Q95" s="12" t="str"/>
      <x:c r="R95" s="12" t="str">
        <x:v>quirk: tempo</x:v>
      </x:c>
      <x:c r="S95" s="12" t="str">
        <x:v>04d408fbff86</x:v>
      </x:c>
      <x:c r="T95" s="12" t="n">
        <x:f>COUNTIF($S$2:$S$757,S95)</x:f>
        <x:v>1</x:v>
      </x:c>
      <x:c r="U95" s="12" t="str">
        <x:f>IF(T95=1,"OK","DUPLICATE")</x:f>
        <x:v>OK</x:v>
      </x:c>
    </x:row>
    <x:row r="96" ht="39.599998474121094" hidden="0" customHeight="1">
      <x:c r="A96" s="12" t="str">
        <x:v>Bone Pickaxe</x:v>
      </x:c>
      <x:c r="B96" s="12" t="str">
        <x:v>BONE PICKAXE</x:v>
      </x:c>
      <x:c r="C96" s="12" t="str">
        <x:v>weapon</x:v>
      </x:c>
      <x:c r="D96" s="12" t="str">
        <x:v>axe</x:v>
      </x:c>
      <x:c r="E96" s="12" t="str">
        <x:v>early</x:v>
      </x:c>
      <x:c r="F96" s="12" t="str">
        <x:v>uncommon</x:v>
      </x:c>
      <x:c r="G96" s="12" t="str">
        <x:v>Bone Pickaxe — Technique</x:v>
      </x:c>
      <x:c r="H96" s="34" t="n">
        <x:v>1</x:v>
      </x:c>
      <x:c r="I96" s="34" t="str">
        <x:v>skill</x:v>
      </x:c>
      <x:c r="J96" s="34" t="str"/>
      <x:c r="K96" s="34" t="str"/>
      <x:c r="L96" s="34" t="n">
        <x:v>2</x:v>
      </x:c>
      <x:c r="M96" s="12" t="str">
        <x:v>Opens: True</x:v>
      </x:c>
      <x:c r="N96" s="12" t="str">
        <x:v>Heavy, Brutal, Harvest, Setup</x:v>
      </x:c>
      <x:c r="O96" s="12" t="str">
        <x:v>Commit to a heavy chop; +3 break damage but failed fragile harvests worsen by one step. Also gain 2 block.</x:v>
      </x:c>
      <x:c r="P96" s="12" t="str">
        <x:v>Commit to a heavy chop; +3 break damage but failed fragile harvests worsen by one step. Gain 2 block. If this is your first card this turn, reduce its cost by 1, minimum 0.</x:v>
      </x:c>
      <x:c r="Q96" s="12" t="str"/>
      <x:c r="R96" s="12" t="str">
        <x:v>quirk: tempo</x:v>
      </x:c>
      <x:c r="S96" s="12" t="str">
        <x:v>d530ebe1e8a8</x:v>
      </x:c>
      <x:c r="T96" s="12" t="n">
        <x:f>COUNTIF($S$2:$S$757,S96)</x:f>
        <x:v>1</x:v>
      </x:c>
      <x:c r="U96" s="12" t="str">
        <x:f>IF(T96=1,"OK","DUPLICATE")</x:f>
        <x:v>OK</x:v>
      </x:c>
    </x:row>
    <x:row r="97" ht="26.399999618530273" hidden="0" customHeight="1">
      <x:c r="A97" s="12" t="str">
        <x:v>Bone Pickaxe</x:v>
      </x:c>
      <x:c r="B97" s="12" t="str">
        <x:v>BONE PICKAXE</x:v>
      </x:c>
      <x:c r="C97" s="12" t="str">
        <x:v>weapon</x:v>
      </x:c>
      <x:c r="D97" s="12" t="str">
        <x:v>axe</x:v>
      </x:c>
      <x:c r="E97" s="12" t="str">
        <x:v>early</x:v>
      </x:c>
      <x:c r="F97" s="12" t="str">
        <x:v>uncommon</x:v>
      </x:c>
      <x:c r="G97" s="12" t="str">
        <x:v>Bone Pickaxe — Payoff</x:v>
      </x:c>
      <x:c r="H97" s="34" t="n">
        <x:v>3</x:v>
      </x:c>
      <x:c r="I97" s="34" t="str">
        <x:v>attack</x:v>
      </x:c>
      <x:c r="J97" s="34" t="n">
        <x:v>6</x:v>
      </x:c>
      <x:c r="K97" s="34" t="n">
        <x:v>4</x:v>
      </x:c>
      <x:c r="L97" s="34" t="str"/>
      <x:c r="M97" s="12" t="str">
        <x:v>Shock 1</x:v>
      </x:c>
      <x:c r="N97" s="12" t="str">
        <x:v>Heavy, Brutal, Harvest, Payoff, WeakPoint</x:v>
      </x:c>
      <x:c r="O97" s="12" t="str">
        <x:v>Deal 6 damage and 4 break damage. If this breaks a weak point, resolve Shock 1 and the tempo rider.</x:v>
      </x:c>
      <x:c r="P97" s="12" t="str">
        <x:v>Deal 6 damage and 4 break damage. If the weak point breaks, apply Shock 1 and resolve: If this is your first card this turn, reduce its cost by 1, minimum 0.</x:v>
      </x:c>
      <x:c r="Q97" s="12" t="str"/>
      <x:c r="R97" s="12" t="str">
        <x:v>quirk: tempo | countsAsCounter False, firstCounterFree False</x:v>
      </x:c>
      <x:c r="S97" s="12" t="str">
        <x:v>a85c64a026b4</x:v>
      </x:c>
      <x:c r="T97" s="12" t="n">
        <x:f>COUNTIF($S$2:$S$757,S97)</x:f>
        <x:v>1</x:v>
      </x:c>
      <x:c r="U97" s="12" t="str">
        <x:f>IF(T97=1,"OK","DUPLICATE")</x:f>
        <x:v>OK</x:v>
      </x:c>
    </x:row>
    <x:row r="98" ht="39.599998474121094" hidden="0" customHeight="1">
      <x:c r="A98" s="12" t="str">
        <x:v>Bone Sickle</x:v>
      </x:c>
      <x:c r="B98" s="12" t="str">
        <x:v>BONE SICKLE</x:v>
      </x:c>
      <x:c r="C98" s="12" t="str">
        <x:v>weapon</x:v>
      </x:c>
      <x:c r="D98" s="12" t="str">
        <x:v>scythe</x:v>
      </x:c>
      <x:c r="E98" s="12" t="str">
        <x:v>early</x:v>
      </x:c>
      <x:c r="F98" s="12" t="str">
        <x:v>uncommon</x:v>
      </x:c>
      <x:c r="G98" s="12" t="str">
        <x:v>Bone Sickle — Opening Strike</x:v>
      </x:c>
      <x:c r="H98" s="34" t="n">
        <x:v>1</x:v>
      </x:c>
      <x:c r="I98" s="34" t="str">
        <x:v>attack</x:v>
      </x:c>
      <x:c r="J98" s="34" t="n">
        <x:v>4</x:v>
      </x:c>
      <x:c r="K98" s="34" t="n">
        <x:v>3</x:v>
      </x:c>
      <x:c r="L98" s="34" t="str"/>
      <x:c r="M98" s="12" t="str">
        <x:v>Doom 3 | Target: Settlement</x:v>
      </x:c>
      <x:c r="N98" s="12" t="str">
        <x:v>Panic, Strange, Harvest, Attack</x:v>
      </x:c>
      <x:c r="O98" s="12" t="str">
        <x:v>Deal 4 damage. Apply Doom 3 if the target has a Settlement weak point, otherwise gain Marked 1.</x:v>
      </x:c>
      <x:c r="P98" s="12" t="str">
        <x:v>Deal 4 damage with Bone Sickle. Apply Doom 3 against a matching Settlement weak point; otherwise apply Marked 1. If you already played an attack this turn, add +1 damage or +1 block.</x:v>
      </x:c>
      <x:c r="Q98" s="12" t="str"/>
      <x:c r="R98" s="12" t="str">
        <x:v>quirk: followUp</x:v>
      </x:c>
      <x:c r="S98" s="12" t="str">
        <x:v>9e981d626af6</x:v>
      </x:c>
      <x:c r="T98" s="12" t="n">
        <x:f>COUNTIF($S$2:$S$757,S98)</x:f>
        <x:v>1</x:v>
      </x:c>
      <x:c r="U98" s="12" t="str">
        <x:f>IF(T98=1,"OK","DUPLICATE")</x:f>
        <x:v>OK</x:v>
      </x:c>
    </x:row>
    <x:row r="99" ht="26.399999618530273" hidden="0" customHeight="1">
      <x:c r="A99" s="12" t="str">
        <x:v>Bone Sickle</x:v>
      </x:c>
      <x:c r="B99" s="12" t="str">
        <x:v>BONE SICKLE</x:v>
      </x:c>
      <x:c r="C99" s="12" t="str">
        <x:v>weapon</x:v>
      </x:c>
      <x:c r="D99" s="12" t="str">
        <x:v>scythe</x:v>
      </x:c>
      <x:c r="E99" s="12" t="str">
        <x:v>early</x:v>
      </x:c>
      <x:c r="F99" s="12" t="str">
        <x:v>uncommon</x:v>
      </x:c>
      <x:c r="G99" s="12" t="str">
        <x:v>Bone Sickle — Technique</x:v>
      </x:c>
      <x:c r="H99" s="34" t="n">
        <x:v>2</x:v>
      </x:c>
      <x:c r="I99" s="34" t="str">
        <x:v>skill</x:v>
      </x:c>
      <x:c r="J99" s="34" t="str"/>
      <x:c r="K99" s="34" t="str"/>
      <x:c r="L99" s="34" t="n">
        <x:v>3</x:v>
      </x:c>
      <x:c r="M99" s="12" t="str">
        <x:v>Opens: True</x:v>
      </x:c>
      <x:c r="N99" s="12" t="str">
        <x:v>Panic, Strange, Harvest, Setup</x:v>
      </x:c>
      <x:c r="O99" s="12" t="str">
        <x:v>Sweep through dread; apply Doom 2 or Panic 1 to yourself to add +2 damage. Also gain 3 block.</x:v>
      </x:c>
      <x:c r="P99" s="12" t="str">
        <x:v>Sweep through dread; apply Doom 2 or Panic 1 to yourself to add +2 damage. Gain 3 block. If you already played an attack this turn, add +1 damage or +1 block.</x:v>
      </x:c>
      <x:c r="Q99" s="12" t="str"/>
      <x:c r="R99" s="12" t="str">
        <x:v>quirk: followUp</x:v>
      </x:c>
      <x:c r="S99" s="12" t="str">
        <x:v>8f399502a43f</x:v>
      </x:c>
      <x:c r="T99" s="12" t="n">
        <x:f>COUNTIF($S$2:$S$757,S99)</x:f>
        <x:v>1</x:v>
      </x:c>
      <x:c r="U99" s="12" t="str">
        <x:f>IF(T99=1,"OK","DUPLICATE")</x:f>
        <x:v>OK</x:v>
      </x:c>
    </x:row>
    <x:row r="100" ht="26.399999618530273" hidden="0" customHeight="1">
      <x:c r="A100" s="12" t="str">
        <x:v>Bone Sickle</x:v>
      </x:c>
      <x:c r="B100" s="12" t="str">
        <x:v>BONE SICKLE</x:v>
      </x:c>
      <x:c r="C100" s="12" t="str">
        <x:v>weapon</x:v>
      </x:c>
      <x:c r="D100" s="12" t="str">
        <x:v>scythe</x:v>
      </x:c>
      <x:c r="E100" s="12" t="str">
        <x:v>early</x:v>
      </x:c>
      <x:c r="F100" s="12" t="str">
        <x:v>uncommon</x:v>
      </x:c>
      <x:c r="G100" s="12" t="str">
        <x:v>Bone Sickle — Payoff</x:v>
      </x:c>
      <x:c r="H100" s="34" t="n">
        <x:v>2</x:v>
      </x:c>
      <x:c r="I100" s="34" t="str">
        <x:v>attack</x:v>
      </x:c>
      <x:c r="J100" s="34" t="n">
        <x:v>7</x:v>
      </x:c>
      <x:c r="K100" s="34" t="n">
        <x:v>4</x:v>
      </x:c>
      <x:c r="L100" s="34" t="str"/>
      <x:c r="M100" s="12" t="str">
        <x:v>Doom 2</x:v>
      </x:c>
      <x:c r="N100" s="12" t="str">
        <x:v>Panic, Strange, Harvest, Payoff, WeakPoint</x:v>
      </x:c>
      <x:c r="O100" s="12" t="str">
        <x:v>Deal 7 damage and 4 break damage. If this breaks a weak point, resolve Doom 2 and the followUp rider.</x:v>
      </x:c>
      <x:c r="P100" s="12" t="str">
        <x:v>Deal 7 damage and 4 break damage. If the weak point breaks, apply Doom 2 and resolve: If you already played an attack this turn, add +1 damage or +1 block.</x:v>
      </x:c>
      <x:c r="Q100" s="12" t="str"/>
      <x:c r="R100" s="12" t="str">
        <x:v>quirk: followUp | countsAsCounter False, firstCounterFree False</x:v>
      </x:c>
      <x:c r="S100" s="12" t="str">
        <x:v>9910751749a2</x:v>
      </x:c>
      <x:c r="T100" s="12" t="n">
        <x:f>COUNTIF($S$2:$S$757,S100)</x:f>
        <x:v>1</x:v>
      </x:c>
      <x:c r="U100" s="12" t="str">
        <x:f>IF(T100=1,"OK","DUPLICATE")</x:f>
        <x:v>OK</x:v>
      </x:c>
    </x:row>
    <x:row r="101" ht="39.599998474121094" hidden="0" customHeight="1">
      <x:c r="A101" s="12" t="str">
        <x:v>Boss Mehndi</x:v>
      </x:c>
      <x:c r="B101" s="12" t="str">
        <x:v>BOSS MEHNDI</x:v>
      </x:c>
      <x:c r="C101" s="12" t="str">
        <x:v>tool</x:v>
      </x:c>
      <x:c r="D101" s="12" t="str">
        <x:v>tool</x:v>
      </x:c>
      <x:c r="E101" s="12" t="str">
        <x:v>early</x:v>
      </x:c>
      <x:c r="F101" s="12" t="str">
        <x:v>uncommon</x:v>
      </x:c>
      <x:c r="G101" s="12" t="str">
        <x:v>Boss Mehndi — Use</x:v>
      </x:c>
      <x:c r="H101" s="34" t="n">
        <x:v>1</x:v>
      </x:c>
      <x:c r="I101" s="34" t="str">
        <x:v>skill</x:v>
      </x:c>
      <x:c r="J101" s="34" t="str"/>
      <x:c r="K101" s="34" t="str"/>
      <x:c r="L101" s="34" t="str"/>
      <x:c r="M101" s="12" t="str">
        <x:v>Stagger 1</x:v>
      </x:c>
      <x:c r="N101" s="12" t="str">
        <x:v>Tool, Harvest, Retreat</x:v>
      </x:c>
      <x:c r="O101" s="12" t="str">
        <x:v>Gain +1 to the next harvest, retreat, or weak-point test. If it fails, apply Stagger 1 to the quarry or clear it from a survivor.</x:v>
      </x:c>
      <x:c r="P101" s="12" t="str">
        <x:v>Gain +1 to the next harvest, retreat, or weak-point test linked to Stone Circle. On failure, either apply Stagger 1 to the quarry or clear that status from a survivor. After use, Exhaust this equipment until the next monster turn.</x:v>
      </x:c>
      <x:c r="Q101" s="12" t="str"/>
      <x:c r="R101" s="12" t="str">
        <x:v>quirk: exhaust</x:v>
      </x:c>
      <x:c r="S101" s="12" t="str">
        <x:v>524a55e54683</x:v>
      </x:c>
      <x:c r="T101" s="12" t="n">
        <x:f>COUNTIF($S$2:$S$757,S101)</x:f>
        <x:v>1</x:v>
      </x:c>
      <x:c r="U101" s="12" t="str">
        <x:f>IF(T101=1,"OK","DUPLICATE")</x:f>
        <x:v>OK</x:v>
      </x:c>
    </x:row>
    <x:row r="102" ht="39.599998474121094" hidden="0" customHeight="1">
      <x:c r="A102" s="12" t="str">
        <x:v>Boss Mehndi</x:v>
      </x:c>
      <x:c r="B102" s="12" t="str">
        <x:v>BOSS MEHNDI</x:v>
      </x:c>
      <x:c r="C102" s="12" t="str">
        <x:v>tool</x:v>
      </x:c>
      <x:c r="D102" s="12" t="str">
        <x:v>tool</x:v>
      </x:c>
      <x:c r="E102" s="12" t="str">
        <x:v>early</x:v>
      </x:c>
      <x:c r="F102" s="12" t="str">
        <x:v>uncommon</x:v>
      </x:c>
      <x:c r="G102" s="12" t="str">
        <x:v>Boss Mehndi — Contingency</x:v>
      </x:c>
      <x:c r="H102" s="34" t="n">
        <x:v>1</x:v>
      </x:c>
      <x:c r="I102" s="34" t="str">
        <x:v>reaction</x:v>
      </x:c>
      <x:c r="J102" s="34" t="str"/>
      <x:c r="K102" s="34" t="str"/>
      <x:c r="L102" s="34" t="str"/>
      <x:c r="M102" s="12" t="str"/>
      <x:c r="N102" s="12" t="str">
        <x:v>Tool, Harvest, Retreat</x:v>
      </x:c>
      <x:c r="O102" s="12" t="str">
        <x:v>When a hunt or monster consequence is previewed, reduce it by 1; on retreat, preserve 1 gathered resource.</x:v>
      </x:c>
      <x:c r="P102" s="12" t="str">
        <x:v>When a hunt event, retreat roll, or monster consequence is previewed, reduce the penalty by 1. If retreating, preserve 1 gathered resource. After use, Exhaust this equipment until the next monster turn.</x:v>
      </x:c>
      <x:c r="Q102" s="12" t="str"/>
      <x:c r="R102" s="12" t="str">
        <x:v>quirk: exhaust</x:v>
      </x:c>
      <x:c r="S102" s="12" t="str">
        <x:v>c794767c0a7a</x:v>
      </x:c>
      <x:c r="T102" s="12" t="n">
        <x:f>COUNTIF($S$2:$S$757,S102)</x:f>
        <x:v>1</x:v>
      </x:c>
      <x:c r="U102" s="12" t="str">
        <x:f>IF(T102=1,"OK","DUPLICATE")</x:f>
        <x:v>OK</x:v>
      </x:c>
    </x:row>
    <x:row r="103" ht="39.599998474121094" hidden="0" customHeight="1">
      <x:c r="A103" s="12" t="str">
        <x:v>Brain Mint</x:v>
      </x:c>
      <x:c r="B103" s="12" t="str">
        <x:v>BRAIN MINT</x:v>
      </x:c>
      <x:c r="C103" s="12" t="str">
        <x:v>tool</x:v>
      </x:c>
      <x:c r="D103" s="12" t="str">
        <x:v>consumable</x:v>
      </x:c>
      <x:c r="E103" s="12" t="str">
        <x:v>mid</x:v>
      </x:c>
      <x:c r="F103" s="12" t="str">
        <x:v>uncommon</x:v>
      </x:c>
      <x:c r="G103" s="12" t="str">
        <x:v>Brain Mint — Use</x:v>
      </x:c>
      <x:c r="H103" s="34" t="n">
        <x:v>0</x:v>
      </x:c>
      <x:c r="I103" s="34" t="str">
        <x:v>skill</x:v>
      </x:c>
      <x:c r="J103" s="34" t="str"/>
      <x:c r="K103" s="34" t="str"/>
      <x:c r="L103" s="34" t="str"/>
      <x:c r="M103" s="12" t="str">
        <x:v>Snared 2</x:v>
      </x:c>
      <x:c r="N103" s="12" t="str">
        <x:v>Tool, Survival, Retreat</x:v>
      </x:c>
      <x:c r="O103" s="12" t="str">
        <x:v>Gain +3 to the next harvest, retreat, or weak-point test. If it fails, apply Snared 2 to the quarry or clear it from a survivor.</x:v>
      </x:c>
      <x:c r="P103" s="12" t="str">
        <x:v>Gain +3 to the next harvest, retreat, or weak-point test linked to Barber Surgeon. On failure, either apply Snared 2 to the quarry or clear that status from a survivor. On a failed harvest, keep one common fallback material.</x:v>
      </x:c>
      <x:c r="Q103" s="12" t="str"/>
      <x:c r="R103" s="12" t="str">
        <x:v>quirk: salvage</x:v>
      </x:c>
      <x:c r="S103" s="12" t="str">
        <x:v>b0a46956b0e6</x:v>
      </x:c>
      <x:c r="T103" s="12" t="n">
        <x:f>COUNTIF($S$2:$S$757,S103)</x:f>
        <x:v>1</x:v>
      </x:c>
      <x:c r="U103" s="12" t="str">
        <x:f>IF(T103=1,"OK","DUPLICATE")</x:f>
        <x:v>OK</x:v>
      </x:c>
    </x:row>
    <x:row r="104" ht="39.599998474121094" hidden="0" customHeight="1">
      <x:c r="A104" s="12" t="str">
        <x:v>Brain Mint</x:v>
      </x:c>
      <x:c r="B104" s="12" t="str">
        <x:v>BRAIN MINT</x:v>
      </x:c>
      <x:c r="C104" s="12" t="str">
        <x:v>tool</x:v>
      </x:c>
      <x:c r="D104" s="12" t="str">
        <x:v>consumable</x:v>
      </x:c>
      <x:c r="E104" s="12" t="str">
        <x:v>mid</x:v>
      </x:c>
      <x:c r="F104" s="12" t="str">
        <x:v>uncommon</x:v>
      </x:c>
      <x:c r="G104" s="12" t="str">
        <x:v>Brain Mint — Contingency</x:v>
      </x:c>
      <x:c r="H104" s="34" t="n">
        <x:v>1</x:v>
      </x:c>
      <x:c r="I104" s="34" t="str">
        <x:v>reaction</x:v>
      </x:c>
      <x:c r="J104" s="34" t="str"/>
      <x:c r="K104" s="34" t="str"/>
      <x:c r="L104" s="34" t="str"/>
      <x:c r="M104" s="12" t="str"/>
      <x:c r="N104" s="12" t="str">
        <x:v>Tool, Survival, Retreat</x:v>
      </x:c>
      <x:c r="O104" s="12" t="str">
        <x:v>When a hunt or monster consequence is previewed, reduce it by 3; on retreat, preserve 2 gathered resource.</x:v>
      </x:c>
      <x:c r="P104" s="12" t="str">
        <x:v>When a hunt event, retreat roll, or monster consequence is previewed, reduce the penalty by 3. If retreating, preserve 2 gathered resource. On a failed harvest, keep one common fallback material.</x:v>
      </x:c>
      <x:c r="Q104" s="12" t="str"/>
      <x:c r="R104" s="12" t="str">
        <x:v>quirk: salvage</x:v>
      </x:c>
      <x:c r="S104" s="12" t="str">
        <x:v>34093b141997</x:v>
      </x:c>
      <x:c r="T104" s="12" t="n">
        <x:f>COUNTIF($S$2:$S$757,S104)</x:f>
        <x:v>1</x:v>
      </x:c>
      <x:c r="U104" s="12" t="str">
        <x:f>IF(T104=1,"OK","DUPLICATE")</x:f>
        <x:v>OK</x:v>
      </x:c>
    </x:row>
    <x:row r="105" ht="39.599998474121094" hidden="0" customHeight="1">
      <x:c r="A105" s="12" t="str">
        <x:v>Bug Trap</x:v>
      </x:c>
      <x:c r="B105" s="12" t="str">
        <x:v>BUG TRAP</x:v>
      </x:c>
      <x:c r="C105" s="12" t="str">
        <x:v>tool</x:v>
      </x:c>
      <x:c r="D105" s="12" t="str">
        <x:v>consumable</x:v>
      </x:c>
      <x:c r="E105" s="12" t="str">
        <x:v>mid</x:v>
      </x:c>
      <x:c r="F105" s="12" t="str">
        <x:v>uncommon</x:v>
      </x:c>
      <x:c r="G105" s="12" t="str">
        <x:v>Bug Trap — Use</x:v>
      </x:c>
      <x:c r="H105" s="34" t="n">
        <x:v>0</x:v>
      </x:c>
      <x:c r="I105" s="34" t="str">
        <x:v>skill</x:v>
      </x:c>
      <x:c r="J105" s="34" t="str"/>
      <x:c r="K105" s="34" t="str"/>
      <x:c r="L105" s="34" t="str"/>
      <x:c r="M105" s="12" t="str">
        <x:v>Snared 3</x:v>
      </x:c>
      <x:c r="N105" s="12" t="str">
        <x:v>Tool, Survival, Retreat</x:v>
      </x:c>
      <x:c r="O105" s="12" t="str">
        <x:v>Gain +4 to the next harvest, retreat, or weak-point test. If it fails, apply Snared 3 to the quarry or clear it from a survivor.</x:v>
      </x:c>
      <x:c r="P105" s="12" t="str">
        <x:v>Gain +4 to the next harvest, retreat, or weak-point test linked to Barber Surgeon. On failure, either apply Snared 3 to the quarry or clear that status from a survivor. If this is the only card you play this turn, gain +2 block.</x:v>
      </x:c>
      <x:c r="Q105" s="12" t="str"/>
      <x:c r="R105" s="12" t="str">
        <x:v>quirk: stance</x:v>
      </x:c>
      <x:c r="S105" s="12" t="str">
        <x:v>4a3f48c897eb</x:v>
      </x:c>
      <x:c r="T105" s="12" t="n">
        <x:f>COUNTIF($S$2:$S$757,S105)</x:f>
        <x:v>1</x:v>
      </x:c>
      <x:c r="U105" s="12" t="str">
        <x:f>IF(T105=1,"OK","DUPLICATE")</x:f>
        <x:v>OK</x:v>
      </x:c>
    </x:row>
    <x:row r="106" ht="39.599998474121094" hidden="0" customHeight="1">
      <x:c r="A106" s="12" t="str">
        <x:v>Bug Trap</x:v>
      </x:c>
      <x:c r="B106" s="12" t="str">
        <x:v>BUG TRAP</x:v>
      </x:c>
      <x:c r="C106" s="12" t="str">
        <x:v>tool</x:v>
      </x:c>
      <x:c r="D106" s="12" t="str">
        <x:v>consumable</x:v>
      </x:c>
      <x:c r="E106" s="12" t="str">
        <x:v>mid</x:v>
      </x:c>
      <x:c r="F106" s="12" t="str">
        <x:v>uncommon</x:v>
      </x:c>
      <x:c r="G106" s="12" t="str">
        <x:v>Bug Trap — Contingency</x:v>
      </x:c>
      <x:c r="H106" s="34" t="n">
        <x:v>1</x:v>
      </x:c>
      <x:c r="I106" s="34" t="str">
        <x:v>reaction</x:v>
      </x:c>
      <x:c r="J106" s="34" t="str"/>
      <x:c r="K106" s="34" t="str"/>
      <x:c r="L106" s="34" t="str"/>
      <x:c r="M106" s="12" t="str"/>
      <x:c r="N106" s="12" t="str">
        <x:v>Tool, Survival, Retreat</x:v>
      </x:c>
      <x:c r="O106" s="12" t="str">
        <x:v>When a hunt or monster consequence is previewed, reduce it by 4; on retreat, preserve 1 gathered resource.</x:v>
      </x:c>
      <x:c r="P106" s="12" t="str">
        <x:v>When a hunt event, retreat roll, or monster consequence is previewed, reduce the penalty by 4. If retreating, preserve 1 gathered resource. If this is the only card you play this turn, gain +2 block.</x:v>
      </x:c>
      <x:c r="Q106" s="12" t="str"/>
      <x:c r="R106" s="12" t="str">
        <x:v>quirk: stance</x:v>
      </x:c>
      <x:c r="S106" s="12" t="str">
        <x:v>c3b26216df16</x:v>
      </x:c>
      <x:c r="T106" s="12" t="n">
        <x:f>COUNTIF($S$2:$S$757,S106)</x:f>
        <x:v>1</x:v>
      </x:c>
      <x:c r="U106" s="12" t="str">
        <x:f>IF(T106=1,"OK","DUPLICATE")</x:f>
        <x:v>OK</x:v>
      </x:c>
    </x:row>
    <x:row r="107" ht="39.599998474121094" hidden="0" customHeight="1">
      <x:c r="A107" s="12" t="str">
        <x:v>Calcified Bone Knife</x:v>
      </x:c>
      <x:c r="B107" s="12" t="str">
        <x:v>CALCIFIED BONE DAGGER</x:v>
      </x:c>
      <x:c r="C107" s="12" t="str">
        <x:v>weapon</x:v>
      </x:c>
      <x:c r="D107" s="12" t="str">
        <x:v>dagger</x:v>
      </x:c>
      <x:c r="E107" s="12" t="str">
        <x:v>early</x:v>
      </x:c>
      <x:c r="F107" s="12" t="str">
        <x:v>uncommon</x:v>
      </x:c>
      <x:c r="G107" s="12" t="str">
        <x:v>Calcified Bone Knife — Opening Cut</x:v>
      </x:c>
      <x:c r="H107" s="34" t="n">
        <x:v>0</x:v>
      </x:c>
      <x:c r="I107" s="34" t="str">
        <x:v>attack</x:v>
      </x:c>
      <x:c r="J107" s="34" t="n">
        <x:v>3</x:v>
      </x:c>
      <x:c r="K107" s="34" t="n">
        <x:v>0</x:v>
      </x:c>
      <x:c r="L107" s="34" t="str"/>
      <x:c r="M107" s="12" t="str">
        <x:v>Bleed 1 | Target: Settlement</x:v>
      </x:c>
      <x:c r="N107" s="12" t="str">
        <x:v>Quick, Precise, Harvest, Attack</x:v>
      </x:c>
      <x:c r="O107" s="12" t="str">
        <x:v>Deal 3 damage. Apply Bleed 1 if the target has a Settlement weak point, otherwise gain Marked 1.</x:v>
      </x:c>
      <x:c r="P107" s="12" t="str">
        <x:v>Deal 3 damage with Calcified Bone Knife. Apply Bleed 1 against a matching Settlement weak point; otherwise apply Marked 1. If you have any wound, add +1 damage but gain Panic 1.</x:v>
      </x:c>
      <x:c r="Q107" s="12" t="str"/>
      <x:c r="R107" s="12" t="str">
        <x:v>quirk: wounded</x:v>
      </x:c>
      <x:c r="S107" s="12" t="str">
        <x:v>da701bb9422c</x:v>
      </x:c>
      <x:c r="T107" s="12" t="n">
        <x:f>COUNTIF($S$2:$S$757,S107)</x:f>
        <x:v>1</x:v>
      </x:c>
      <x:c r="U107" s="12" t="str">
        <x:f>IF(T107=1,"OK","DUPLICATE")</x:f>
        <x:v>OK</x:v>
      </x:c>
    </x:row>
    <x:row r="108" ht="26.399999618530273" hidden="0" customHeight="1">
      <x:c r="A108" s="12" t="str">
        <x:v>Calcified Bone Knife</x:v>
      </x:c>
      <x:c r="B108" s="12" t="str">
        <x:v>CALCIFIED BONE DAGGER</x:v>
      </x:c>
      <x:c r="C108" s="12" t="str">
        <x:v>weapon</x:v>
      </x:c>
      <x:c r="D108" s="12" t="str">
        <x:v>dagger</x:v>
      </x:c>
      <x:c r="E108" s="12" t="str">
        <x:v>early</x:v>
      </x:c>
      <x:c r="F108" s="12" t="str">
        <x:v>uncommon</x:v>
      </x:c>
      <x:c r="G108" s="12" t="str">
        <x:v>Calcified Bone Knife — Technique</x:v>
      </x:c>
      <x:c r="H108" s="34" t="n">
        <x:v>2</x:v>
      </x:c>
      <x:c r="I108" s="34" t="str">
        <x:v>skill</x:v>
      </x:c>
      <x:c r="J108" s="34" t="str"/>
      <x:c r="K108" s="34" t="str"/>
      <x:c r="L108" s="34" t="n">
        <x:v>1</x:v>
      </x:c>
      <x:c r="M108" s="12" t="str">
        <x:v>Opens: True</x:v>
      </x:c>
      <x:c r="N108" s="12" t="str">
        <x:v>Quick, Precise, Harvest, Setup</x:v>
      </x:c>
      <x:c r="O108" s="12" t="str">
        <x:v>Expose a fragile weak point; next knife attack gains +2 break damage. Also gain 1 block.</x:v>
      </x:c>
      <x:c r="P108" s="12" t="str">
        <x:v>Expose a fragile weak point; next knife attack gains +2 break damage. Gain 1 block. If you have any wound, add +1 damage but gain Panic 1.</x:v>
      </x:c>
      <x:c r="Q108" s="12" t="str"/>
      <x:c r="R108" s="12" t="str">
        <x:v>quirk: wounded</x:v>
      </x:c>
      <x:c r="S108" s="12" t="str">
        <x:v>24a046bde5d1</x:v>
      </x:c>
      <x:c r="T108" s="12" t="n">
        <x:f>COUNTIF($S$2:$S$757,S108)</x:f>
        <x:v>1</x:v>
      </x:c>
      <x:c r="U108" s="12" t="str">
        <x:f>IF(T108=1,"OK","DUPLICATE")</x:f>
        <x:v>OK</x:v>
      </x:c>
    </x:row>
    <x:row r="109" ht="26.399999618530273" hidden="0" customHeight="1">
      <x:c r="A109" s="12" t="str">
        <x:v>Calcified Bone Knife</x:v>
      </x:c>
      <x:c r="B109" s="12" t="str">
        <x:v>CALCIFIED BONE DAGGER</x:v>
      </x:c>
      <x:c r="C109" s="12" t="str">
        <x:v>weapon</x:v>
      </x:c>
      <x:c r="D109" s="12" t="str">
        <x:v>dagger</x:v>
      </x:c>
      <x:c r="E109" s="12" t="str">
        <x:v>early</x:v>
      </x:c>
      <x:c r="F109" s="12" t="str">
        <x:v>uncommon</x:v>
      </x:c>
      <x:c r="G109" s="12" t="str">
        <x:v>Calcified Bone Knife — Payoff</x:v>
      </x:c>
      <x:c r="H109" s="34" t="n">
        <x:v>2</x:v>
      </x:c>
      <x:c r="I109" s="34" t="str">
        <x:v>attack</x:v>
      </x:c>
      <x:c r="J109" s="34" t="n">
        <x:v>4</x:v>
      </x:c>
      <x:c r="K109" s="34" t="n">
        <x:v>1</x:v>
      </x:c>
      <x:c r="L109" s="34" t="str"/>
      <x:c r="M109" s="12" t="str">
        <x:v>Bleed 1</x:v>
      </x:c>
      <x:c r="N109" s="12" t="str">
        <x:v>Quick, Precise, Harvest, Payoff, WeakPoint</x:v>
      </x:c>
      <x:c r="O109" s="12" t="str">
        <x:v>Deal 4 damage and 1 break damage. If this breaks a weak point, resolve Bleed 1 and the wounded rider.</x:v>
      </x:c>
      <x:c r="P109" s="12" t="str">
        <x:v>Deal 4 damage and 1 break damage. If the weak point breaks, apply Bleed 1 and resolve: If you have any wound, add +1 damage but gain Panic 1.</x:v>
      </x:c>
      <x:c r="Q109" s="12" t="str"/>
      <x:c r="R109" s="12" t="str">
        <x:v>quirk: wounded | countsAsCounter False, firstCounterFree False</x:v>
      </x:c>
      <x:c r="S109" s="12" t="str">
        <x:v>ef8b034975ae</x:v>
      </x:c>
      <x:c r="T109" s="12" t="n">
        <x:f>COUNTIF($S$2:$S$757,S109)</x:f>
        <x:v>1</x:v>
      </x:c>
      <x:c r="U109" s="12" t="str">
        <x:f>IF(T109=1,"OK","DUPLICATE")</x:f>
        <x:v>OK</x:v>
      </x:c>
    </x:row>
    <x:row r="110" ht="39.599998474121094" hidden="0" customHeight="1">
      <x:c r="A110" s="12" t="str">
        <x:v>Calcified Digging Claw</x:v>
      </x:c>
      <x:c r="B110" s="12" t="str">
        <x:v>CALCIFIED DIGGING CLAW</x:v>
      </x:c>
      <x:c r="C110" s="12" t="str">
        <x:v>tool</x:v>
      </x:c>
      <x:c r="D110" s="12" t="str">
        <x:v>tool</x:v>
      </x:c>
      <x:c r="E110" s="12" t="str">
        <x:v>mid</x:v>
      </x:c>
      <x:c r="F110" s="12" t="str">
        <x:v>uncommon</x:v>
      </x:c>
      <x:c r="G110" s="12" t="str">
        <x:v>Calcified Digging Claw — Use</x:v>
      </x:c>
      <x:c r="H110" s="34" t="n">
        <x:v>1</x:v>
      </x:c>
      <x:c r="I110" s="34" t="str">
        <x:v>skill</x:v>
      </x:c>
      <x:c r="J110" s="34" t="str"/>
      <x:c r="K110" s="34" t="str"/>
      <x:c r="L110" s="34" t="str"/>
      <x:c r="M110" s="12" t="str">
        <x:v>Shock 2</x:v>
      </x:c>
      <x:c r="N110" s="12" t="str">
        <x:v>Tool, Harvest, Retreat</x:v>
      </x:c>
      <x:c r="O110" s="12" t="str">
        <x:v>Gain +3 to the next harvest, retreat, or weak-point test. If it fails, apply Shock 2 to the quarry or clear it from a survivor.</x:v>
      </x:c>
      <x:c r="P110" s="12" t="str">
        <x:v>Gain +3 to the next harvest, retreat, or weak-point test linked to Wet Resin Crafter. On failure, either apply Shock 2 to the quarry or clear that status from a survivor. If you play a third attack this round, gain Panic 1.</x:v>
      </x:c>
      <x:c r="Q110" s="12" t="str"/>
      <x:c r="R110" s="12" t="str">
        <x:v>quirk: frenzyCheck</x:v>
      </x:c>
      <x:c r="S110" s="12" t="str">
        <x:v>f7d2991ea23e</x:v>
      </x:c>
      <x:c r="T110" s="12" t="n">
        <x:f>COUNTIF($S$2:$S$757,S110)</x:f>
        <x:v>1</x:v>
      </x:c>
      <x:c r="U110" s="12" t="str">
        <x:f>IF(T110=1,"OK","DUPLICATE")</x:f>
        <x:v>OK</x:v>
      </x:c>
    </x:row>
    <x:row r="111" ht="39.599998474121094" hidden="0" customHeight="1">
      <x:c r="A111" s="12" t="str">
        <x:v>Calcified Digging Claw</x:v>
      </x:c>
      <x:c r="B111" s="12" t="str">
        <x:v>CALCIFIED DIGGING CLAW</x:v>
      </x:c>
      <x:c r="C111" s="12" t="str">
        <x:v>tool</x:v>
      </x:c>
      <x:c r="D111" s="12" t="str">
        <x:v>tool</x:v>
      </x:c>
      <x:c r="E111" s="12" t="str">
        <x:v>mid</x:v>
      </x:c>
      <x:c r="F111" s="12" t="str">
        <x:v>uncommon</x:v>
      </x:c>
      <x:c r="G111" s="12" t="str">
        <x:v>Calcified Digging Claw — Contingency</x:v>
      </x:c>
      <x:c r="H111" s="34" t="n">
        <x:v>1</x:v>
      </x:c>
      <x:c r="I111" s="34" t="str">
        <x:v>reaction</x:v>
      </x:c>
      <x:c r="J111" s="34" t="str"/>
      <x:c r="K111" s="34" t="str"/>
      <x:c r="L111" s="34" t="str"/>
      <x:c r="M111" s="12" t="str"/>
      <x:c r="N111" s="12" t="str">
        <x:v>Tool, Harvest, Retreat</x:v>
      </x:c>
      <x:c r="O111" s="12" t="str">
        <x:v>When a hunt or monster consequence is previewed, reduce it by 4; on retreat, preserve 1 gathered resource.</x:v>
      </x:c>
      <x:c r="P111" s="12" t="str">
        <x:v>When a hunt event, retreat roll, or monster consequence is previewed, reduce the penalty by 4. If retreating, preserve 1 gathered resource. If you play a third attack this round, gain Panic 1.</x:v>
      </x:c>
      <x:c r="Q111" s="12" t="str"/>
      <x:c r="R111" s="12" t="str">
        <x:v>quirk: frenzyCheck</x:v>
      </x:c>
      <x:c r="S111" s="12" t="str">
        <x:v>bf473b2f59c1</x:v>
      </x:c>
      <x:c r="T111" s="12" t="n">
        <x:f>COUNTIF($S$2:$S$757,S111)</x:f>
        <x:v>1</x:v>
      </x:c>
      <x:c r="U111" s="12" t="str">
        <x:f>IF(T111=1,"OK","DUPLICATE")</x:f>
        <x:v>OK</x:v>
      </x:c>
    </x:row>
    <x:row r="112" ht="39.599998474121094" hidden="0" customHeight="1">
      <x:c r="A112" s="12" t="str">
        <x:v>Calcified Gramber Blade</x:v>
      </x:c>
      <x:c r="B112" s="12" t="str">
        <x:v>CALCIFIED GRAMBER BLADE</x:v>
      </x:c>
      <x:c r="C112" s="12" t="str">
        <x:v>weapon</x:v>
      </x:c>
      <x:c r="D112" s="12" t="str">
        <x:v>sword</x:v>
      </x:c>
      <x:c r="E112" s="12" t="str">
        <x:v>mid</x:v>
      </x:c>
      <x:c r="F112" s="12" t="str">
        <x:v>uncommon</x:v>
      </x:c>
      <x:c r="G112" s="12" t="str">
        <x:v>Calcified Gramber Blade — Opening Cut</x:v>
      </x:c>
      <x:c r="H112" s="34" t="n">
        <x:v>1</x:v>
      </x:c>
      <x:c r="I112" s="34" t="str">
        <x:v>attack</x:v>
      </x:c>
      <x:c r="J112" s="34" t="n">
        <x:v>5</x:v>
      </x:c>
      <x:c r="K112" s="34" t="n">
        <x:v>3</x:v>
      </x:c>
      <x:c r="L112" s="34" t="str"/>
      <x:c r="M112" s="12" t="str">
        <x:v>Poison 3 | Target: Spurkulese</x:v>
      </x:c>
      <x:c r="N112" s="12" t="str">
        <x:v>Precise, Marking, Counter, Attack</x:v>
      </x:c>
      <x:c r="O112" s="12" t="str">
        <x:v>Deal 5 damage. Apply Poison 3 if the target has a Spurkulese weak point, otherwise gain Marked 1.</x:v>
      </x:c>
      <x:c r="P112" s="12" t="str">
        <x:v>Deal 5 damage with Calcified Gramber Blade. Apply Poison 3 against a matching Spurkulese weak point; otherwise apply Marked 1. You may gain Panic 1 to increase the listed number by 2.</x:v>
      </x:c>
      <x:c r="Q112" s="12" t="str"/>
      <x:c r="R112" s="12" t="str">
        <x:v>quirk: panicBrake</x:v>
      </x:c>
      <x:c r="S112" s="12" t="str">
        <x:v>8950c1450c13</x:v>
      </x:c>
      <x:c r="T112" s="12" t="n">
        <x:f>COUNTIF($S$2:$S$757,S112)</x:f>
        <x:v>1</x:v>
      </x:c>
      <x:c r="U112" s="12" t="str">
        <x:f>IF(T112=1,"OK","DUPLICATE")</x:f>
        <x:v>OK</x:v>
      </x:c>
    </x:row>
    <x:row r="113" ht="39.599998474121094" hidden="0" customHeight="1">
      <x:c r="A113" s="12" t="str">
        <x:v>Calcified Gramber Blade</x:v>
      </x:c>
      <x:c r="B113" s="12" t="str">
        <x:v>CALCIFIED GRAMBER BLADE</x:v>
      </x:c>
      <x:c r="C113" s="12" t="str">
        <x:v>weapon</x:v>
      </x:c>
      <x:c r="D113" s="12" t="str">
        <x:v>sword</x:v>
      </x:c>
      <x:c r="E113" s="12" t="str">
        <x:v>mid</x:v>
      </x:c>
      <x:c r="F113" s="12" t="str">
        <x:v>uncommon</x:v>
      </x:c>
      <x:c r="G113" s="12" t="str">
        <x:v>Calcified Gramber Blade — Technique</x:v>
      </x:c>
      <x:c r="H113" s="34" t="n">
        <x:v>2</x:v>
      </x:c>
      <x:c r="I113" s="34" t="str">
        <x:v>skill</x:v>
      </x:c>
      <x:c r="J113" s="34" t="str"/>
      <x:c r="K113" s="34" t="str"/>
      <x:c r="L113" s="34" t="n">
        <x:v>4</x:v>
      </x:c>
      <x:c r="M113" s="12" t="str">
        <x:v>Opens: True</x:v>
      </x:c>
      <x:c r="N113" s="12" t="str">
        <x:v>Precise, Marking, Counter, Setup</x:v>
      </x:c>
      <x:c r="O113" s="12" t="str">
        <x:v>Set a parry line; your next Counter with this equipment costs 0 if it is the first Counter this battle. Also gain 4 block.</x:v>
      </x:c>
      <x:c r="P113" s="12" t="str">
        <x:v>Set a parry line; your next Counter with this equipment costs 0 if it is the first Counter this battle. Gain 4 block. You may gain Panic 1 to increase the listed number by 2.</x:v>
      </x:c>
      <x:c r="Q113" s="12" t="str">
        <x:v>YES</x:v>
      </x:c>
      <x:c r="R113" s="12" t="str">
        <x:v>quirk: panicBrake</x:v>
      </x:c>
      <x:c r="S113" s="12" t="str">
        <x:v>19dc36519302</x:v>
      </x:c>
      <x:c r="T113" s="12" t="n">
        <x:f>COUNTIF($S$2:$S$757,S113)</x:f>
        <x:v>1</x:v>
      </x:c>
      <x:c r="U113" s="12" t="str">
        <x:f>IF(T113=1,"OK","DUPLICATE")</x:f>
        <x:v>OK</x:v>
      </x:c>
    </x:row>
    <x:row r="114" ht="26.399999618530273" hidden="0" customHeight="1">
      <x:c r="A114" s="12" t="str">
        <x:v>Calcified Gramber Blade</x:v>
      </x:c>
      <x:c r="B114" s="12" t="str">
        <x:v>CALCIFIED GRAMBER BLADE</x:v>
      </x:c>
      <x:c r="C114" s="12" t="str">
        <x:v>weapon</x:v>
      </x:c>
      <x:c r="D114" s="12" t="str">
        <x:v>sword</x:v>
      </x:c>
      <x:c r="E114" s="12" t="str">
        <x:v>mid</x:v>
      </x:c>
      <x:c r="F114" s="12" t="str">
        <x:v>uncommon</x:v>
      </x:c>
      <x:c r="G114" s="12" t="str">
        <x:v>Calcified Gramber Blade — Payoff</x:v>
      </x:c>
      <x:c r="H114" s="34" t="n">
        <x:v>2</x:v>
      </x:c>
      <x:c r="I114" s="34" t="str">
        <x:v>reaction</x:v>
      </x:c>
      <x:c r="J114" s="34" t="n">
        <x:v>9</x:v>
      </x:c>
      <x:c r="K114" s="34" t="n">
        <x:v>4</x:v>
      </x:c>
      <x:c r="L114" s="34" t="str"/>
      <x:c r="M114" s="12" t="str">
        <x:v>Poison 2</x:v>
      </x:c>
      <x:c r="N114" s="12" t="str">
        <x:v>Precise, Marking, Counter, Payoff, WeakPoint</x:v>
      </x:c>
      <x:c r="O114" s="12" t="str">
        <x:v>Deal 9 damage and 4 break damage. If this breaks a weak point, resolve Poison 2 and the panicBrake rider.</x:v>
      </x:c>
      <x:c r="P114" s="12" t="str">
        <x:v>Deal 9 damage and 4 break damage. If the weak point breaks, apply Poison 2 and resolve: You may gain Panic 1 to increase the listed number by 2.</x:v>
      </x:c>
      <x:c r="Q114" s="12" t="str">
        <x:v>YES</x:v>
      </x:c>
      <x:c r="R114" s="12" t="str">
        <x:v>quirk: panicBrake | countsAsCounter True, firstCounterFree True</x:v>
      </x:c>
      <x:c r="S114" s="12" t="str">
        <x:v>66cf547cd09d</x:v>
      </x:c>
      <x:c r="T114" s="12" t="n">
        <x:f>COUNTIF($S$2:$S$757,S114)</x:f>
        <x:v>1</x:v>
      </x:c>
      <x:c r="U114" s="12" t="str">
        <x:f>IF(T114=1,"OK","DUPLICATE")</x:f>
        <x:v>OK</x:v>
      </x:c>
    </x:row>
    <x:row r="115" ht="39.599998474121094" hidden="0" customHeight="1">
      <x:c r="A115" s="12" t="str">
        <x:v>Calcified Greaves</x:v>
      </x:c>
      <x:c r="B115" s="12" t="str">
        <x:v>CALCIFIED GREAVES</x:v>
      </x:c>
      <x:c r="C115" s="12" t="str">
        <x:v>legs</x:v>
      </x:c>
      <x:c r="D115" s="12" t="str">
        <x:v>armor</x:v>
      </x:c>
      <x:c r="E115" s="12" t="str">
        <x:v>mid</x:v>
      </x:c>
      <x:c r="F115" s="12" t="str">
        <x:v>uncommon</x:v>
      </x:c>
      <x:c r="G115" s="12" t="str">
        <x:v>Calcified Greaves — Brace</x:v>
      </x:c>
      <x:c r="H115" s="34" t="n">
        <x:v>1</x:v>
      </x:c>
      <x:c r="I115" s="34" t="str">
        <x:v>skill</x:v>
      </x:c>
      <x:c r="J115" s="34" t="str"/>
      <x:c r="K115" s="34" t="str"/>
      <x:c r="L115" s="34" t="n">
        <x:v>3</x:v>
      </x:c>
      <x:c r="M115" s="12" t="str"/>
      <x:c r="N115" s="12" t="str">
        <x:v>Defensive, Party, WoundCare</x:v>
      </x:c>
      <x:c r="O115" s="12" t="str">
        <x:v>Gain 3 block and Guarded 1. If hit before your next turn, reduce Shock or Panic by 1.</x:v>
      </x:c>
      <x:c r="P115" s="12" t="str">
        <x:v>Gain 3 block and Guarded 1. If the next monster hit lands before your next turn, reduce Shock or Panic by 1 after damage. After use, Exhaust this equipment until the next monster turn.</x:v>
      </x:c>
      <x:c r="Q115" s="12" t="str"/>
      <x:c r="R115" s="12" t="str">
        <x:v>quirk: exhaust</x:v>
      </x:c>
      <x:c r="S115" s="12" t="str">
        <x:v>ee2a5bdaafce</x:v>
      </x:c>
      <x:c r="T115" s="12" t="n">
        <x:f>COUNTIF($S$2:$S$757,S115)</x:f>
        <x:v>1</x:v>
      </x:c>
      <x:c r="U115" s="12" t="str">
        <x:f>IF(T115=1,"OK","DUPLICATE")</x:f>
        <x:v>OK</x:v>
      </x:c>
    </x:row>
    <x:row r="116" ht="39.599998474121094" hidden="0" customHeight="1">
      <x:c r="A116" s="12" t="str">
        <x:v>Calcified Greaves</x:v>
      </x:c>
      <x:c r="B116" s="12" t="str">
        <x:v>CALCIFIED GREAVES</x:v>
      </x:c>
      <x:c r="C116" s="12" t="str">
        <x:v>legs</x:v>
      </x:c>
      <x:c r="D116" s="12" t="str">
        <x:v>armor</x:v>
      </x:c>
      <x:c r="E116" s="12" t="str">
        <x:v>mid</x:v>
      </x:c>
      <x:c r="F116" s="12" t="str">
        <x:v>uncommon</x:v>
      </x:c>
      <x:c r="G116" s="12" t="str">
        <x:v>Calcified Greaves — Fitted Plate</x:v>
      </x:c>
      <x:c r="H116" s="34" t="n">
        <x:v>1</x:v>
      </x:c>
      <x:c r="I116" s="34" t="str">
        <x:v>reaction</x:v>
      </x:c>
      <x:c r="J116" s="34" t="str"/>
      <x:c r="K116" s="34" t="str"/>
      <x:c r="L116" s="34" t="n">
        <x:v>4</x:v>
      </x:c>
      <x:c r="M116" s="12" t="str"/>
      <x:c r="N116" s="12" t="str">
        <x:v>Defensive, Party, WoundCare, Reaction</x:v>
      </x:c>
      <x:c r="O116" s="12" t="str">
        <x:v>After damage is previewed, prevent 4 damage. Then give the next ally Guarded 2.</x:v>
      </x:c>
      <x:c r="P116" s="12" t="str">
        <x:v>After incoming damage is previewed, prevent 4 damage with the legs slot. Then the next ally gains Guarded 2. After use, Exhaust this equipment until the next monster turn.</x:v>
      </x:c>
      <x:c r="Q116" s="12" t="str"/>
      <x:c r="R116" s="12" t="str">
        <x:v>quirk: exhaust</x:v>
      </x:c>
      <x:c r="S116" s="12" t="str">
        <x:v>fb186e026f17</x:v>
      </x:c>
      <x:c r="T116" s="12" t="n">
        <x:f>COUNTIF($S$2:$S$757,S116)</x:f>
        <x:v>1</x:v>
      </x:c>
      <x:c r="U116" s="12" t="str">
        <x:f>IF(T116=1,"OK","DUPLICATE")</x:f>
        <x:v>OK</x:v>
      </x:c>
    </x:row>
    <x:row r="117" ht="39.599998474121094" hidden="0" customHeight="1">
      <x:c r="A117" s="12" t="str">
        <x:v>Calcified Juggernaut Knife</x:v>
      </x:c>
      <x:c r="B117" s="12" t="str">
        <x:v>CALCIFIED JUGGERNAUT DAGGER</x:v>
      </x:c>
      <x:c r="C117" s="12" t="str">
        <x:v>weapon</x:v>
      </x:c>
      <x:c r="D117" s="12" t="str">
        <x:v>dagger</x:v>
      </x:c>
      <x:c r="E117" s="12" t="str">
        <x:v>mid</x:v>
      </x:c>
      <x:c r="F117" s="12" t="str">
        <x:v>uncommon</x:v>
      </x:c>
      <x:c r="G117" s="12" t="str">
        <x:v>Calcified Juggernaut Knife — Opening Cut</x:v>
      </x:c>
      <x:c r="H117" s="34" t="n">
        <x:v>0</x:v>
      </x:c>
      <x:c r="I117" s="34" t="str">
        <x:v>attack</x:v>
      </x:c>
      <x:c r="J117" s="34" t="n">
        <x:v>4</x:v>
      </x:c>
      <x:c r="K117" s="34" t="n">
        <x:v>1</x:v>
      </x:c>
      <x:c r="L117" s="34" t="str"/>
      <x:c r="M117" s="12" t="str">
        <x:v>Shock 2 | Target: Dung Beetle Knight</x:v>
      </x:c>
      <x:c r="N117" s="12" t="str">
        <x:v>Quick, Precise, Harvest, Attack</x:v>
      </x:c>
      <x:c r="O117" s="12" t="str">
        <x:v>Deal 4 damage. Apply Shock 2 if the target has a Dung Beetle Knight weak point, otherwise gain Marked 1.</x:v>
      </x:c>
      <x:c r="P117" s="12" t="str">
        <x:v>Deal 4 damage with Calcified Juggernaut Knife. Apply Shock 2 against a matching Dung Beetle Knight weak point; otherwise apply Marked 1. If used on a hunt node, also mark one gathered resource as confirmed.</x:v>
      </x:c>
      <x:c r="Q117" s="12" t="str"/>
      <x:c r="R117" s="12" t="str">
        <x:v>quirk: retreat</x:v>
      </x:c>
      <x:c r="S117" s="12" t="str">
        <x:v>7cf6c0668527</x:v>
      </x:c>
      <x:c r="T117" s="12" t="n">
        <x:f>COUNTIF($S$2:$S$757,S117)</x:f>
        <x:v>1</x:v>
      </x:c>
      <x:c r="U117" s="12" t="str">
        <x:f>IF(T117=1,"OK","DUPLICATE")</x:f>
        <x:v>OK</x:v>
      </x:c>
    </x:row>
    <x:row r="118" ht="26.399999618530273" hidden="0" customHeight="1">
      <x:c r="A118" s="12" t="str">
        <x:v>Calcified Juggernaut Knife</x:v>
      </x:c>
      <x:c r="B118" s="12" t="str">
        <x:v>CALCIFIED JUGGERNAUT DAGGER</x:v>
      </x:c>
      <x:c r="C118" s="12" t="str">
        <x:v>weapon</x:v>
      </x:c>
      <x:c r="D118" s="12" t="str">
        <x:v>dagger</x:v>
      </x:c>
      <x:c r="E118" s="12" t="str">
        <x:v>mid</x:v>
      </x:c>
      <x:c r="F118" s="12" t="str">
        <x:v>uncommon</x:v>
      </x:c>
      <x:c r="G118" s="12" t="str">
        <x:v>Calcified Juggernaut Knife — Technique</x:v>
      </x:c>
      <x:c r="H118" s="34" t="n">
        <x:v>2</x:v>
      </x:c>
      <x:c r="I118" s="34" t="str">
        <x:v>skill</x:v>
      </x:c>
      <x:c r="J118" s="34" t="str"/>
      <x:c r="K118" s="34" t="str"/>
      <x:c r="L118" s="34" t="n">
        <x:v>3</x:v>
      </x:c>
      <x:c r="M118" s="12" t="str">
        <x:v>Opens: True</x:v>
      </x:c>
      <x:c r="N118" s="12" t="str">
        <x:v>Quick, Precise, Harvest, Setup</x:v>
      </x:c>
      <x:c r="O118" s="12" t="str">
        <x:v>Expose a fragile weak point; next knife attack gains +2 break damage. Also gain 3 block.</x:v>
      </x:c>
      <x:c r="P118" s="12" t="str">
        <x:v>Expose a fragile weak point; next knife attack gains +2 break damage. Gain 3 block. If used on a hunt node, also mark one gathered resource as confirmed.</x:v>
      </x:c>
      <x:c r="Q118" s="12" t="str"/>
      <x:c r="R118" s="12" t="str">
        <x:v>quirk: retreat</x:v>
      </x:c>
      <x:c r="S118" s="12" t="str">
        <x:v>044f6dab49a7</x:v>
      </x:c>
      <x:c r="T118" s="12" t="n">
        <x:f>COUNTIF($S$2:$S$757,S118)</x:f>
        <x:v>1</x:v>
      </x:c>
      <x:c r="U118" s="12" t="str">
        <x:f>IF(T118=1,"OK","DUPLICATE")</x:f>
        <x:v>OK</x:v>
      </x:c>
    </x:row>
    <x:row r="119" ht="26.399999618530273" hidden="0" customHeight="1">
      <x:c r="A119" s="12" t="str">
        <x:v>Calcified Juggernaut Knife</x:v>
      </x:c>
      <x:c r="B119" s="12" t="str">
        <x:v>CALCIFIED JUGGERNAUT DAGGER</x:v>
      </x:c>
      <x:c r="C119" s="12" t="str">
        <x:v>weapon</x:v>
      </x:c>
      <x:c r="D119" s="12" t="str">
        <x:v>dagger</x:v>
      </x:c>
      <x:c r="E119" s="12" t="str">
        <x:v>mid</x:v>
      </x:c>
      <x:c r="F119" s="12" t="str">
        <x:v>uncommon</x:v>
      </x:c>
      <x:c r="G119" s="12" t="str">
        <x:v>Calcified Juggernaut Knife — Payoff</x:v>
      </x:c>
      <x:c r="H119" s="34" t="n">
        <x:v>2</x:v>
      </x:c>
      <x:c r="I119" s="34" t="str">
        <x:v>attack</x:v>
      </x:c>
      <x:c r="J119" s="34" t="n">
        <x:v>5</x:v>
      </x:c>
      <x:c r="K119" s="34" t="n">
        <x:v>2</x:v>
      </x:c>
      <x:c r="L119" s="34" t="str"/>
      <x:c r="M119" s="12" t="str">
        <x:v>Shock 1</x:v>
      </x:c>
      <x:c r="N119" s="12" t="str">
        <x:v>Quick, Precise, Harvest, Payoff, WeakPoint</x:v>
      </x:c>
      <x:c r="O119" s="12" t="str">
        <x:v>Deal 5 damage and 2 break damage. If this breaks a weak point, resolve Shock 1 and the retreat rider.</x:v>
      </x:c>
      <x:c r="P119" s="12" t="str">
        <x:v>Deal 5 damage and 2 break damage. If the weak point breaks, apply Shock 1 and resolve: If used on a hunt node, also mark one gathered resource as confirmed.</x:v>
      </x:c>
      <x:c r="Q119" s="12" t="str"/>
      <x:c r="R119" s="12" t="str">
        <x:v>quirk: retreat | countsAsCounter False, firstCounterFree False</x:v>
      </x:c>
      <x:c r="S119" s="12" t="str">
        <x:v>2523df271f25</x:v>
      </x:c>
      <x:c r="T119" s="12" t="n">
        <x:f>COUNTIF($S$2:$S$757,S119)</x:f>
        <x:v>1</x:v>
      </x:c>
      <x:c r="U119" s="12" t="str">
        <x:f>IF(T119=1,"OK","DUPLICATE")</x:f>
        <x:v>OK</x:v>
      </x:c>
    </x:row>
    <x:row r="120" ht="39.599998474121094" hidden="0" customHeight="1">
      <x:c r="A120" s="12" t="str">
        <x:v>Calcified Shoulder Pads</x:v>
      </x:c>
      <x:c r="B120" s="12" t="str">
        <x:v>CALCIFIED SHOULDER PADS</x:v>
      </x:c>
      <x:c r="C120" s="12" t="str">
        <x:v>body</x:v>
      </x:c>
      <x:c r="D120" s="12" t="str">
        <x:v>armor</x:v>
      </x:c>
      <x:c r="E120" s="12" t="str">
        <x:v>mid</x:v>
      </x:c>
      <x:c r="F120" s="12" t="str">
        <x:v>uncommon</x:v>
      </x:c>
      <x:c r="G120" s="12" t="str">
        <x:v>Calcified Shoulder Pads — Brace</x:v>
      </x:c>
      <x:c r="H120" s="34" t="n">
        <x:v>1</x:v>
      </x:c>
      <x:c r="I120" s="34" t="str">
        <x:v>skill</x:v>
      </x:c>
      <x:c r="J120" s="34" t="str"/>
      <x:c r="K120" s="34" t="str"/>
      <x:c r="L120" s="34" t="n">
        <x:v>5</x:v>
      </x:c>
      <x:c r="M120" s="12" t="str"/>
      <x:c r="N120" s="12" t="str">
        <x:v>Defensive, Party, WoundCare</x:v>
      </x:c>
      <x:c r="O120" s="12" t="str">
        <x:v>Gain 5 block and Guarded 3. If hit before your next turn, reduce Shock or Panic by 1.</x:v>
      </x:c>
      <x:c r="P120" s="12" t="str">
        <x:v>Gain 5 block and Guarded 3. If the next monster hit lands before your next turn, reduce Shock or Panic by 1 after damage. If this is the only card you play this turn, gain +2 block.</x:v>
      </x:c>
      <x:c r="Q120" s="12" t="str"/>
      <x:c r="R120" s="12" t="str">
        <x:v>quirk: stance</x:v>
      </x:c>
      <x:c r="S120" s="12" t="str">
        <x:v>190233152129</x:v>
      </x:c>
      <x:c r="T120" s="12" t="n">
        <x:f>COUNTIF($S$2:$S$757,S120)</x:f>
        <x:v>1</x:v>
      </x:c>
      <x:c r="U120" s="12" t="str">
        <x:f>IF(T120=1,"OK","DUPLICATE")</x:f>
        <x:v>OK</x:v>
      </x:c>
    </x:row>
    <x:row r="121" ht="39.599998474121094" hidden="0" customHeight="1">
      <x:c r="A121" s="12" t="str">
        <x:v>Calcified Shoulder Pads</x:v>
      </x:c>
      <x:c r="B121" s="12" t="str">
        <x:v>CALCIFIED SHOULDER PADS</x:v>
      </x:c>
      <x:c r="C121" s="12" t="str">
        <x:v>body</x:v>
      </x:c>
      <x:c r="D121" s="12" t="str">
        <x:v>armor</x:v>
      </x:c>
      <x:c r="E121" s="12" t="str">
        <x:v>mid</x:v>
      </x:c>
      <x:c r="F121" s="12" t="str">
        <x:v>uncommon</x:v>
      </x:c>
      <x:c r="G121" s="12" t="str">
        <x:v>Calcified Shoulder Pads — Fitted Plate</x:v>
      </x:c>
      <x:c r="H121" s="34" t="n">
        <x:v>1</x:v>
      </x:c>
      <x:c r="I121" s="34" t="str">
        <x:v>reaction</x:v>
      </x:c>
      <x:c r="J121" s="34" t="str"/>
      <x:c r="K121" s="34" t="str"/>
      <x:c r="L121" s="34" t="n">
        <x:v>8</x:v>
      </x:c>
      <x:c r="M121" s="12" t="str"/>
      <x:c r="N121" s="12" t="str">
        <x:v>Defensive, Party, WoundCare, Reaction</x:v>
      </x:c>
      <x:c r="O121" s="12" t="str">
        <x:v>After damage is previewed, prevent 8 damage. Then give the next ally Guarded 2.</x:v>
      </x:c>
      <x:c r="P121" s="12" t="str">
        <x:v>After incoming damage is previewed, prevent 8 damage with the body slot. Then the next ally gains Guarded 2. If this is the only card you play this turn, gain +2 block.</x:v>
      </x:c>
      <x:c r="Q121" s="12" t="str"/>
      <x:c r="R121" s="12" t="str">
        <x:v>quirk: stance</x:v>
      </x:c>
      <x:c r="S121" s="12" t="str">
        <x:v>c0eefc159c70</x:v>
      </x:c>
      <x:c r="T121" s="12" t="n">
        <x:f>COUNTIF($S$2:$S$757,S121)</x:f>
        <x:v>1</x:v>
      </x:c>
      <x:c r="U121" s="12" t="str">
        <x:f>IF(T121=1,"OK","DUPLICATE")</x:f>
        <x:v>OK</x:v>
      </x:c>
    </x:row>
    <x:row r="122" ht="39.599998474121094" hidden="0" customHeight="1">
      <x:c r="A122" s="12" t="str">
        <x:v>Calcified Zanbato</x:v>
      </x:c>
      <x:c r="B122" s="12" t="str">
        <x:v>CALCIFIED ZANBATO</x:v>
      </x:c>
      <x:c r="C122" s="12" t="str">
        <x:v>weapon</x:v>
      </x:c>
      <x:c r="D122" s="12" t="str">
        <x:v>grandWeapon</x:v>
      </x:c>
      <x:c r="E122" s="12" t="str">
        <x:v>early</x:v>
      </x:c>
      <x:c r="F122" s="12" t="str">
        <x:v>uncommon</x:v>
      </x:c>
      <x:c r="G122" s="12" t="str">
        <x:v>Calcified Zanbato — Opening Strike</x:v>
      </x:c>
      <x:c r="H122" s="34" t="n">
        <x:v>2</x:v>
      </x:c>
      <x:c r="I122" s="34" t="str">
        <x:v>attack</x:v>
      </x:c>
      <x:c r="J122" s="34" t="n">
        <x:v>6</x:v>
      </x:c>
      <x:c r="K122" s="34" t="n">
        <x:v>3</x:v>
      </x:c>
      <x:c r="L122" s="34" t="str"/>
      <x:c r="M122" s="12" t="str">
        <x:v>Stagger 1 | Target: Settlement</x:v>
      </x:c>
      <x:c r="N122" s="12" t="str">
        <x:v>Heavy, Brutal, Guardbreaker, Attack</x:v>
      </x:c>
      <x:c r="O122" s="12" t="str">
        <x:v>Deal 6 damage. Apply Stagger 1 if the target has a Settlement weak point, otherwise gain Marked 1.</x:v>
      </x:c>
      <x:c r="P122" s="12" t="str">
        <x:v>Deal 6 damage with Calcified Zanbato. Apply Stagger 1 against a matching Settlement weak point; otherwise apply Marked 1. After use, Exhaust this equipment until the next monster turn.</x:v>
      </x:c>
      <x:c r="Q122" s="12" t="str"/>
      <x:c r="R122" s="12" t="str">
        <x:v>quirk: exhaust</x:v>
      </x:c>
      <x:c r="S122" s="12" t="str">
        <x:v>bcadeaf4a0a3</x:v>
      </x:c>
      <x:c r="T122" s="12" t="n">
        <x:f>COUNTIF($S$2:$S$757,S122)</x:f>
        <x:v>1</x:v>
      </x:c>
      <x:c r="U122" s="12" t="str">
        <x:f>IF(T122=1,"OK","DUPLICATE")</x:f>
        <x:v>OK</x:v>
      </x:c>
    </x:row>
    <x:row r="123" ht="26.399999618530273" hidden="0" customHeight="1">
      <x:c r="A123" s="12" t="str">
        <x:v>Calcified Zanbato</x:v>
      </x:c>
      <x:c r="B123" s="12" t="str">
        <x:v>CALCIFIED ZANBATO</x:v>
      </x:c>
      <x:c r="C123" s="12" t="str">
        <x:v>weapon</x:v>
      </x:c>
      <x:c r="D123" s="12" t="str">
        <x:v>grandWeapon</x:v>
      </x:c>
      <x:c r="E123" s="12" t="str">
        <x:v>early</x:v>
      </x:c>
      <x:c r="F123" s="12" t="str">
        <x:v>uncommon</x:v>
      </x:c>
      <x:c r="G123" s="12" t="str">
        <x:v>Calcified Zanbato — Technique</x:v>
      </x:c>
      <x:c r="H123" s="34" t="n">
        <x:v>2</x:v>
      </x:c>
      <x:c r="I123" s="34" t="str">
        <x:v>skill</x:v>
      </x:c>
      <x:c r="J123" s="34" t="str"/>
      <x:c r="K123" s="34" t="str"/>
      <x:c r="L123" s="34" t="n">
        <x:v>1</x:v>
      </x:c>
      <x:c r="M123" s="12" t="str">
        <x:v>Opens: True</x:v>
      </x:c>
      <x:c r="N123" s="12" t="str">
        <x:v>Heavy, Brutal, Guardbreaker, Setup</x:v>
      </x:c>
      <x:c r="O123" s="12" t="str">
        <x:v>Brace and telegraph; next hit gains Stagger and +2 break damage. Also gain 1 block.</x:v>
      </x:c>
      <x:c r="P123" s="12" t="str">
        <x:v>Brace and telegraph; next hit gains Stagger and +2 break damage. Gain 1 block. After use, Exhaust this equipment until the next monster turn.</x:v>
      </x:c>
      <x:c r="Q123" s="12" t="str"/>
      <x:c r="R123" s="12" t="str">
        <x:v>quirk: exhaust</x:v>
      </x:c>
      <x:c r="S123" s="12" t="str">
        <x:v>ef58cce6efe7</x:v>
      </x:c>
      <x:c r="T123" s="12" t="n">
        <x:f>COUNTIF($S$2:$S$757,S123)</x:f>
        <x:v>1</x:v>
      </x:c>
      <x:c r="U123" s="12" t="str">
        <x:f>IF(T123=1,"OK","DUPLICATE")</x:f>
        <x:v>OK</x:v>
      </x:c>
    </x:row>
    <x:row r="124" ht="26.399999618530273" hidden="0" customHeight="1">
      <x:c r="A124" s="12" t="str">
        <x:v>Calcified Zanbato</x:v>
      </x:c>
      <x:c r="B124" s="12" t="str">
        <x:v>CALCIFIED ZANBATO</x:v>
      </x:c>
      <x:c r="C124" s="12" t="str">
        <x:v>weapon</x:v>
      </x:c>
      <x:c r="D124" s="12" t="str">
        <x:v>grandWeapon</x:v>
      </x:c>
      <x:c r="E124" s="12" t="str">
        <x:v>early</x:v>
      </x:c>
      <x:c r="F124" s="12" t="str">
        <x:v>uncommon</x:v>
      </x:c>
      <x:c r="G124" s="12" t="str">
        <x:v>Calcified Zanbato — Payoff</x:v>
      </x:c>
      <x:c r="H124" s="34" t="n">
        <x:v>3</x:v>
      </x:c>
      <x:c r="I124" s="34" t="str">
        <x:v>attack</x:v>
      </x:c>
      <x:c r="J124" s="34" t="n">
        <x:v>11</x:v>
      </x:c>
      <x:c r="K124" s="34" t="n">
        <x:v>4</x:v>
      </x:c>
      <x:c r="L124" s="34" t="str"/>
      <x:c r="M124" s="12" t="str">
        <x:v>Stagger 1</x:v>
      </x:c>
      <x:c r="N124" s="12" t="str">
        <x:v>Heavy, Brutal, Guardbreaker, Payoff, WeakPoint</x:v>
      </x:c>
      <x:c r="O124" s="12" t="str">
        <x:v>Deal 11 damage and 4 break damage. If this breaks a weak point, resolve Stagger 1 and the exhaust rider.</x:v>
      </x:c>
      <x:c r="P124" s="12" t="str">
        <x:v>Deal 11 damage and 4 break damage. If the weak point breaks, apply Stagger 1 and resolve: After use, Exhaust this equipment until the next monster turn.</x:v>
      </x:c>
      <x:c r="Q124" s="12" t="str"/>
      <x:c r="R124" s="12" t="str">
        <x:v>quirk: exhaust | countsAsCounter False, firstCounterFree False</x:v>
      </x:c>
      <x:c r="S124" s="12" t="str">
        <x:v>a21fd1833619</x:v>
      </x:c>
      <x:c r="T124" s="12" t="n">
        <x:f>COUNTIF($S$2:$S$757,S124)</x:f>
        <x:v>1</x:v>
      </x:c>
      <x:c r="U124" s="12" t="str">
        <x:f>IF(T124=1,"OK","DUPLICATE")</x:f>
        <x:v>OK</x:v>
      </x:c>
    </x:row>
    <x:row r="125" ht="39.599998474121094" hidden="0" customHeight="1">
      <x:c r="A125" s="12" t="str">
        <x:v>Cat Eye Circlet</x:v>
      </x:c>
      <x:c r="B125" s="12" t="str">
        <x:v>CAT EYE CIRCLET</x:v>
      </x:c>
      <x:c r="C125" s="12" t="str">
        <x:v>charm</x:v>
      </x:c>
      <x:c r="D125" s="12" t="str">
        <x:v>charm</x:v>
      </x:c>
      <x:c r="E125" s="12" t="str">
        <x:v>early</x:v>
      </x:c>
      <x:c r="F125" s="12" t="str">
        <x:v>uncommon</x:v>
      </x:c>
      <x:c r="G125" s="12" t="str">
        <x:v>Cat Eye Circlet — Omen</x:v>
      </x:c>
      <x:c r="H125" s="34" t="n">
        <x:v>0</x:v>
      </x:c>
      <x:c r="I125" s="34" t="str">
        <x:v>skill</x:v>
      </x:c>
      <x:c r="J125" s="34" t="str"/>
      <x:c r="K125" s="34" t="str"/>
      <x:c r="L125" s="34" t="str"/>
      <x:c r="M125" s="12" t="str"/>
      <x:c r="N125" s="12" t="str">
        <x:v>Charm, Passive, Survival</x:v>
      </x:c>
      <x:c r="O125" s="12" t="str">
        <x:v>Peek at the next quarry card or weak-point reward. You may mark it; if you do, gain Panic 1.</x:v>
      </x:c>
      <x:c r="P125" s="12" t="str">
        <x:v>Peek at the next quarry AI, hit-location or weak-point reward, depending on screen. You may mark it. If marked, gain Panic 1. If you have no Bleed, Poison or Burn, add +1 to all listed values.</x:v>
      </x:c>
      <x:c r="Q125" s="12" t="str"/>
      <x:c r="R125" s="12" t="str">
        <x:v>quirk: cleanHands</x:v>
      </x:c>
      <x:c r="S125" s="12" t="str">
        <x:v>22e545f68857</x:v>
      </x:c>
      <x:c r="T125" s="12" t="n">
        <x:f>COUNTIF($S$2:$S$757,S125)</x:f>
        <x:v>1</x:v>
      </x:c>
      <x:c r="U125" s="12" t="str">
        <x:f>IF(T125=1,"OK","DUPLICATE")</x:f>
        <x:v>OK</x:v>
      </x:c>
    </x:row>
    <x:row r="126" ht="39.599998474121094" hidden="0" customHeight="1">
      <x:c r="A126" s="12" t="str">
        <x:v>Cat Eye Circlet</x:v>
      </x:c>
      <x:c r="B126" s="12" t="str">
        <x:v>CAT EYE CIRCLET</x:v>
      </x:c>
      <x:c r="C126" s="12" t="str">
        <x:v>charm</x:v>
      </x:c>
      <x:c r="D126" s="12" t="str">
        <x:v>charm</x:v>
      </x:c>
      <x:c r="E126" s="12" t="str">
        <x:v>early</x:v>
      </x:c>
      <x:c r="F126" s="12" t="str">
        <x:v>uncommon</x:v>
      </x:c>
      <x:c r="G126" s="12" t="str">
        <x:v>Cat Eye Circlet — Glimmer</x:v>
      </x:c>
      <x:c r="H126" s="34" t="n">
        <x:v>0</x:v>
      </x:c>
      <x:c r="I126" s="34" t="str">
        <x:v>reaction</x:v>
      </x:c>
      <x:c r="J126" s="34" t="str"/>
      <x:c r="K126" s="34" t="str"/>
      <x:c r="L126" s="34" t="str"/>
      <x:c r="M126" s="12" t="str"/>
      <x:c r="N126" s="12" t="str">
        <x:v>Charm, Passive, Survival</x:v>
      </x:c>
      <x:c r="O126" s="12" t="str">
        <x:v>When Bleed or a hunt consequence would affect you, reduce it by 2; exhaust this charm.</x:v>
      </x:c>
      <x:c r="P126" s="12" t="str">
        <x:v>When Bleed, Panic, or a hunt consequence would affect this survivor, reduce it by 2; exhaust this charm until the next settlement phase. If you have no Bleed, Poison or Burn, add +1 to all listed values.</x:v>
      </x:c>
      <x:c r="Q126" s="12" t="str"/>
      <x:c r="R126" s="12" t="str">
        <x:v>quirk: cleanHands</x:v>
      </x:c>
      <x:c r="S126" s="12" t="str">
        <x:v>1e8094ece2ed</x:v>
      </x:c>
      <x:c r="T126" s="12" t="n">
        <x:f>COUNTIF($S$2:$S$757,S126)</x:f>
        <x:v>1</x:v>
      </x:c>
      <x:c r="U126" s="12" t="str">
        <x:f>IF(T126=1,"OK","DUPLICATE")</x:f>
        <x:v>OK</x:v>
      </x:c>
    </x:row>
    <x:row r="127" ht="39.599998474121094" hidden="0" customHeight="1">
      <x:c r="A127" s="12" t="str">
        <x:v>Fang Knife</x:v>
      </x:c>
      <x:c r="B127" s="12" t="str">
        <x:v>CAT FANG KNIFE</x:v>
      </x:c>
      <x:c r="C127" s="12" t="str">
        <x:v>weapon</x:v>
      </x:c>
      <x:c r="D127" s="12" t="str">
        <x:v>dagger</x:v>
      </x:c>
      <x:c r="E127" s="12" t="str">
        <x:v>early</x:v>
      </x:c>
      <x:c r="F127" s="12" t="str">
        <x:v>uncommon</x:v>
      </x:c>
      <x:c r="G127" s="12" t="str">
        <x:v>Fang Knife — Opening Cut</x:v>
      </x:c>
      <x:c r="H127" s="34" t="n">
        <x:v>0</x:v>
      </x:c>
      <x:c r="I127" s="34" t="str">
        <x:v>attack</x:v>
      </x:c>
      <x:c r="J127" s="34" t="n">
        <x:v>3</x:v>
      </x:c>
      <x:c r="K127" s="34" t="n">
        <x:v>2</x:v>
      </x:c>
      <x:c r="L127" s="34" t="str"/>
      <x:c r="M127" s="12" t="str">
        <x:v>Bleed 3 | Target: White Lion</x:v>
      </x:c>
      <x:c r="N127" s="12" t="str">
        <x:v>Quick, Precise, Harvest, Attack</x:v>
      </x:c>
      <x:c r="O127" s="12" t="str">
        <x:v>Deal 3 damage. Apply Bleed 3 if the target has a White Lion weak point, otherwise gain Marked 1.</x:v>
      </x:c>
      <x:c r="P127" s="12" t="str">
        <x:v>Deal 3 damage with Fang Knife. Apply Bleed 3 against a matching White Lion weak point; otherwise apply Marked 1. If this is the only card you play this turn, gain +2 block.</x:v>
      </x:c>
      <x:c r="Q127" s="12" t="str"/>
      <x:c r="R127" s="12" t="str">
        <x:v>quirk: stance</x:v>
      </x:c>
      <x:c r="S127" s="12" t="str">
        <x:v>41629cd19e33</x:v>
      </x:c>
      <x:c r="T127" s="12" t="n">
        <x:f>COUNTIF($S$2:$S$757,S127)</x:f>
        <x:v>1</x:v>
      </x:c>
      <x:c r="U127" s="12" t="str">
        <x:f>IF(T127=1,"OK","DUPLICATE")</x:f>
        <x:v>OK</x:v>
      </x:c>
    </x:row>
    <x:row r="128" ht="26.399999618530273" hidden="0" customHeight="1">
      <x:c r="A128" s="12" t="str">
        <x:v>Fang Knife</x:v>
      </x:c>
      <x:c r="B128" s="12" t="str">
        <x:v>CAT FANG KNIFE</x:v>
      </x:c>
      <x:c r="C128" s="12" t="str">
        <x:v>weapon</x:v>
      </x:c>
      <x:c r="D128" s="12" t="str">
        <x:v>dagger</x:v>
      </x:c>
      <x:c r="E128" s="12" t="str">
        <x:v>early</x:v>
      </x:c>
      <x:c r="F128" s="12" t="str">
        <x:v>uncommon</x:v>
      </x:c>
      <x:c r="G128" s="12" t="str">
        <x:v>Fang Knife — Technique</x:v>
      </x:c>
      <x:c r="H128" s="34" t="n">
        <x:v>2</x:v>
      </x:c>
      <x:c r="I128" s="34" t="str">
        <x:v>skill</x:v>
      </x:c>
      <x:c r="J128" s="34" t="str"/>
      <x:c r="K128" s="34" t="str"/>
      <x:c r="L128" s="34" t="n">
        <x:v>3</x:v>
      </x:c>
      <x:c r="M128" s="12" t="str">
        <x:v>Opens: True</x:v>
      </x:c>
      <x:c r="N128" s="12" t="str">
        <x:v>Quick, Precise, Harvest, Setup</x:v>
      </x:c>
      <x:c r="O128" s="12" t="str">
        <x:v>Expose a fragile weak point; next knife attack gains +2 break damage. Also gain 3 block.</x:v>
      </x:c>
      <x:c r="P128" s="12" t="str">
        <x:v>Expose a fragile weak point; next knife attack gains +2 break damage. Gain 3 block. If this is the only card you play this turn, gain +2 block.</x:v>
      </x:c>
      <x:c r="Q128" s="12" t="str"/>
      <x:c r="R128" s="12" t="str">
        <x:v>quirk: stance</x:v>
      </x:c>
      <x:c r="S128" s="12" t="str">
        <x:v>a537ab7ab09d</x:v>
      </x:c>
      <x:c r="T128" s="12" t="n">
        <x:f>COUNTIF($S$2:$S$757,S128)</x:f>
        <x:v>1</x:v>
      </x:c>
      <x:c r="U128" s="12" t="str">
        <x:f>IF(T128=1,"OK","DUPLICATE")</x:f>
        <x:v>OK</x:v>
      </x:c>
    </x:row>
    <x:row r="129" ht="26.399999618530273" hidden="0" customHeight="1">
      <x:c r="A129" s="12" t="str">
        <x:v>Fang Knife</x:v>
      </x:c>
      <x:c r="B129" s="12" t="str">
        <x:v>CAT FANG KNIFE</x:v>
      </x:c>
      <x:c r="C129" s="12" t="str">
        <x:v>weapon</x:v>
      </x:c>
      <x:c r="D129" s="12" t="str">
        <x:v>dagger</x:v>
      </x:c>
      <x:c r="E129" s="12" t="str">
        <x:v>early</x:v>
      </x:c>
      <x:c r="F129" s="12" t="str">
        <x:v>uncommon</x:v>
      </x:c>
      <x:c r="G129" s="12" t="str">
        <x:v>Fang Knife — Payoff</x:v>
      </x:c>
      <x:c r="H129" s="34" t="n">
        <x:v>2</x:v>
      </x:c>
      <x:c r="I129" s="34" t="str">
        <x:v>attack</x:v>
      </x:c>
      <x:c r="J129" s="34" t="n">
        <x:v>4</x:v>
      </x:c>
      <x:c r="K129" s="34" t="n">
        <x:v>3</x:v>
      </x:c>
      <x:c r="L129" s="34" t="str"/>
      <x:c r="M129" s="12" t="str">
        <x:v>Bleed 2</x:v>
      </x:c>
      <x:c r="N129" s="12" t="str">
        <x:v>Quick, Precise, Harvest, Payoff, WeakPoint</x:v>
      </x:c>
      <x:c r="O129" s="12" t="str">
        <x:v>Deal 4 damage and 3 break damage. If this breaks a weak point, resolve Bleed 2 and the stance rider.</x:v>
      </x:c>
      <x:c r="P129" s="12" t="str">
        <x:v>Deal 4 damage and 3 break damage. If the weak point breaks, apply Bleed 2 and resolve: If this is the only card you play this turn, gain +2 block.</x:v>
      </x:c>
      <x:c r="Q129" s="12" t="str"/>
      <x:c r="R129" s="12" t="str">
        <x:v>quirk: stance | countsAsCounter False, firstCounterFree False</x:v>
      </x:c>
      <x:c r="S129" s="12" t="str">
        <x:v>ef9a4a6e3f11</x:v>
      </x:c>
      <x:c r="T129" s="12" t="n">
        <x:f>COUNTIF($S$2:$S$757,S129)</x:f>
        <x:v>1</x:v>
      </x:c>
      <x:c r="U129" s="12" t="str">
        <x:f>IF(T129=1,"OK","DUPLICATE")</x:f>
        <x:v>OK</x:v>
      </x:c>
    </x:row>
    <x:row r="130" ht="39.599998474121094" hidden="0" customHeight="1">
      <x:c r="A130" s="12" t="str">
        <x:v>Catgut Bow</x:v>
      </x:c>
      <x:c r="B130" s="12" t="str">
        <x:v>CAT GUT BOW</x:v>
      </x:c>
      <x:c r="C130" s="12" t="str">
        <x:v>weapon</x:v>
      </x:c>
      <x:c r="D130" s="12" t="str">
        <x:v>bow</x:v>
      </x:c>
      <x:c r="E130" s="12" t="str">
        <x:v>early</x:v>
      </x:c>
      <x:c r="F130" s="12" t="str">
        <x:v>uncommon</x:v>
      </x:c>
      <x:c r="G130" s="12" t="str">
        <x:v>Catgut Bow — Opening Strike</x:v>
      </x:c>
      <x:c r="H130" s="34" t="n">
        <x:v>1</x:v>
      </x:c>
      <x:c r="I130" s="34" t="str">
        <x:v>attack</x:v>
      </x:c>
      <x:c r="J130" s="34" t="n">
        <x:v>2</x:v>
      </x:c>
      <x:c r="K130" s="34" t="n">
        <x:v>1</x:v>
      </x:c>
      <x:c r="L130" s="34" t="str"/>
      <x:c r="M130" s="12" t="str">
        <x:v>Bleed 1 | Target: White Lion</x:v>
      </x:c>
      <x:c r="N130" s="12" t="str">
        <x:v>Ranged, Marking, Precise, Attack</x:v>
      </x:c>
      <x:c r="O130" s="12" t="str">
        <x:v>Deal 2 damage. Apply Bleed 1 if the target has a White Lion weak point, otherwise gain Marked 1.</x:v>
      </x:c>
      <x:c r="P130" s="12" t="str">
        <x:v>Deal 2 damage with Catgut Bow. Apply Bleed 1 against a matching White Lion weak point; otherwise apply Marked 1. If played after blocking, your next Counter gains +2 damage.</x:v>
      </x:c>
      <x:c r="Q130" s="12" t="str"/>
      <x:c r="R130" s="12" t="str">
        <x:v>quirk: counterReady</x:v>
      </x:c>
      <x:c r="S130" s="12" t="str">
        <x:v>02dc3256fe81</x:v>
      </x:c>
      <x:c r="T130" s="12" t="n">
        <x:f>COUNTIF($S$2:$S$757,S130)</x:f>
        <x:v>1</x:v>
      </x:c>
      <x:c r="U130" s="12" t="str">
        <x:f>IF(T130=1,"OK","DUPLICATE")</x:f>
        <x:v>OK</x:v>
      </x:c>
    </x:row>
    <x:row r="131" ht="26.399999618530273" hidden="0" customHeight="1">
      <x:c r="A131" s="12" t="str">
        <x:v>Catgut Bow</x:v>
      </x:c>
      <x:c r="B131" s="12" t="str">
        <x:v>CAT GUT BOW</x:v>
      </x:c>
      <x:c r="C131" s="12" t="str">
        <x:v>weapon</x:v>
      </x:c>
      <x:c r="D131" s="12" t="str">
        <x:v>bow</x:v>
      </x:c>
      <x:c r="E131" s="12" t="str">
        <x:v>early</x:v>
      </x:c>
      <x:c r="F131" s="12" t="str">
        <x:v>uncommon</x:v>
      </x:c>
      <x:c r="G131" s="12" t="str">
        <x:v>Catgut Bow — Technique</x:v>
      </x:c>
      <x:c r="H131" s="34" t="n">
        <x:v>1</x:v>
      </x:c>
      <x:c r="I131" s="34" t="str">
        <x:v>skill</x:v>
      </x:c>
      <x:c r="J131" s="34" t="str"/>
      <x:c r="K131" s="34" t="str"/>
      <x:c r="L131" s="34" t="n">
        <x:v>1</x:v>
      </x:c>
      <x:c r="M131" s="12" t="str">
        <x:v>Opens: True</x:v>
      </x:c>
      <x:c r="N131" s="12" t="str">
        <x:v>Ranged, Marking, Precise, Setup</x:v>
      </x:c>
      <x:c r="O131" s="12" t="str">
        <x:v>Mark a wing, eye or distant weak point; ranged attacks ignore Guarded 1. Also gain 1 block.</x:v>
      </x:c>
      <x:c r="P131" s="12" t="str">
        <x:v>Mark a wing, eye or distant weak point; ranged attacks ignore Guarded 1. Gain 1 block. If played after blocking, your next Counter gains +2 damage.</x:v>
      </x:c>
      <x:c r="Q131" s="12" t="str"/>
      <x:c r="R131" s="12" t="str">
        <x:v>quirk: counterReady</x:v>
      </x:c>
      <x:c r="S131" s="12" t="str">
        <x:v>d9df3bf327c8</x:v>
      </x:c>
      <x:c r="T131" s="12" t="n">
        <x:f>COUNTIF($S$2:$S$757,S131)</x:f>
        <x:v>1</x:v>
      </x:c>
      <x:c r="U131" s="12" t="str">
        <x:f>IF(T131=1,"OK","DUPLICATE")</x:f>
        <x:v>OK</x:v>
      </x:c>
    </x:row>
    <x:row r="132" ht="26.399999618530273" hidden="0" customHeight="1">
      <x:c r="A132" s="12" t="str">
        <x:v>Catgut Bow</x:v>
      </x:c>
      <x:c r="B132" s="12" t="str">
        <x:v>CAT GUT BOW</x:v>
      </x:c>
      <x:c r="C132" s="12" t="str">
        <x:v>weapon</x:v>
      </x:c>
      <x:c r="D132" s="12" t="str">
        <x:v>bow</x:v>
      </x:c>
      <x:c r="E132" s="12" t="str">
        <x:v>early</x:v>
      </x:c>
      <x:c r="F132" s="12" t="str">
        <x:v>uncommon</x:v>
      </x:c>
      <x:c r="G132" s="12" t="str">
        <x:v>Catgut Bow — Payoff</x:v>
      </x:c>
      <x:c r="H132" s="34" t="n">
        <x:v>2</x:v>
      </x:c>
      <x:c r="I132" s="34" t="str">
        <x:v>attack</x:v>
      </x:c>
      <x:c r="J132" s="34" t="n">
        <x:v>6</x:v>
      </x:c>
      <x:c r="K132" s="34" t="n">
        <x:v>2</x:v>
      </x:c>
      <x:c r="L132" s="34" t="str"/>
      <x:c r="M132" s="12" t="str">
        <x:v>Bleed 1</x:v>
      </x:c>
      <x:c r="N132" s="12" t="str">
        <x:v>Ranged, Marking, Precise, Payoff, WeakPoint</x:v>
      </x:c>
      <x:c r="O132" s="12" t="str">
        <x:v>Deal 6 damage and 2 break damage. If this breaks a weak point, resolve Bleed 1 and the counterReady rider.</x:v>
      </x:c>
      <x:c r="P132" s="12" t="str">
        <x:v>Deal 6 damage and 2 break damage. If the weak point breaks, apply Bleed 1 and resolve: If played after blocking, your next Counter gains +2 damage.</x:v>
      </x:c>
      <x:c r="Q132" s="12" t="str"/>
      <x:c r="R132" s="12" t="str">
        <x:v>quirk: counterReady | countsAsCounter False, firstCounterFree False</x:v>
      </x:c>
      <x:c r="S132" s="12" t="str">
        <x:v>d7e8e6db2f2f</x:v>
      </x:c>
      <x:c r="T132" s="12" t="n">
        <x:f>COUNTIF($S$2:$S$757,S132)</x:f>
        <x:v>1</x:v>
      </x:c>
      <x:c r="U132" s="12" t="str">
        <x:f>IF(T132=1,"OK","DUPLICATE")</x:f>
        <x:v>OK</x:v>
      </x:c>
    </x:row>
    <x:row r="133" ht="39.599998474121094" hidden="0" customHeight="1">
      <x:c r="A133" s="12" t="str">
        <x:v>Century Greaves</x:v>
      </x:c>
      <x:c r="B133" s="12" t="str">
        <x:v>CENTURY GREAVES</x:v>
      </x:c>
      <x:c r="C133" s="12" t="str">
        <x:v>legs</x:v>
      </x:c>
      <x:c r="D133" s="12" t="str">
        <x:v>armor</x:v>
      </x:c>
      <x:c r="E133" s="12" t="str">
        <x:v>mid</x:v>
      </x:c>
      <x:c r="F133" s="12" t="str">
        <x:v>uncommon</x:v>
      </x:c>
      <x:c r="G133" s="12" t="str">
        <x:v>Century Greaves — Brace</x:v>
      </x:c>
      <x:c r="H133" s="34" t="n">
        <x:v>1</x:v>
      </x:c>
      <x:c r="I133" s="34" t="str">
        <x:v>skill</x:v>
      </x:c>
      <x:c r="J133" s="34" t="str"/>
      <x:c r="K133" s="34" t="str"/>
      <x:c r="L133" s="34" t="n">
        <x:v>6</x:v>
      </x:c>
      <x:c r="M133" s="12" t="str"/>
      <x:c r="N133" s="12" t="str">
        <x:v>Defensive, Party, WoundCare</x:v>
      </x:c>
      <x:c r="O133" s="12" t="str">
        <x:v>Gain 6 block and Guarded 2. If hit before your next turn, reduce Shock or Panic by 1.</x:v>
      </x:c>
      <x:c r="P133" s="12" t="str">
        <x:v>Gain 6 block and Guarded 2. If the next monster hit lands before your next turn, reduce Shock or Panic by 1 after damage. If you have no Bleed, Poison or Burn, add +1 to all listed values.</x:v>
      </x:c>
      <x:c r="Q133" s="12" t="str"/>
      <x:c r="R133" s="12" t="str">
        <x:v>quirk: cleanHands</x:v>
      </x:c>
      <x:c r="S133" s="12" t="str">
        <x:v>715cb61b4179</x:v>
      </x:c>
      <x:c r="T133" s="12" t="n">
        <x:f>COUNTIF($S$2:$S$757,S133)</x:f>
        <x:v>1</x:v>
      </x:c>
      <x:c r="U133" s="12" t="str">
        <x:f>IF(T133=1,"OK","DUPLICATE")</x:f>
        <x:v>OK</x:v>
      </x:c>
    </x:row>
    <x:row r="134" ht="39.599998474121094" hidden="0" customHeight="1">
      <x:c r="A134" s="12" t="str">
        <x:v>Century Greaves</x:v>
      </x:c>
      <x:c r="B134" s="12" t="str">
        <x:v>CENTURY GREAVES</x:v>
      </x:c>
      <x:c r="C134" s="12" t="str">
        <x:v>legs</x:v>
      </x:c>
      <x:c r="D134" s="12" t="str">
        <x:v>armor</x:v>
      </x:c>
      <x:c r="E134" s="12" t="str">
        <x:v>mid</x:v>
      </x:c>
      <x:c r="F134" s="12" t="str">
        <x:v>uncommon</x:v>
      </x:c>
      <x:c r="G134" s="12" t="str">
        <x:v>Century Greaves — Fitted Plate</x:v>
      </x:c>
      <x:c r="H134" s="34" t="n">
        <x:v>2</x:v>
      </x:c>
      <x:c r="I134" s="34" t="str">
        <x:v>reaction</x:v>
      </x:c>
      <x:c r="J134" s="34" t="str"/>
      <x:c r="K134" s="34" t="str"/>
      <x:c r="L134" s="34" t="n">
        <x:v>8</x:v>
      </x:c>
      <x:c r="M134" s="12" t="str"/>
      <x:c r="N134" s="12" t="str">
        <x:v>Defensive, Party, WoundCare, Reaction</x:v>
      </x:c>
      <x:c r="O134" s="12" t="str">
        <x:v>After damage is previewed, prevent 8 damage. Then give the next ally Guarded 2.</x:v>
      </x:c>
      <x:c r="P134" s="12" t="str">
        <x:v>After incoming damage is previewed, prevent 8 damage with the legs slot. Then the next ally gains Guarded 2. If you have no Bleed, Poison or Burn, add +1 to all listed values.</x:v>
      </x:c>
      <x:c r="Q134" s="12" t="str"/>
      <x:c r="R134" s="12" t="str">
        <x:v>quirk: cleanHands</x:v>
      </x:c>
      <x:c r="S134" s="12" t="str">
        <x:v>d709d1c90d80</x:v>
      </x:c>
      <x:c r="T134" s="12" t="n">
        <x:f>COUNTIF($S$2:$S$757,S134)</x:f>
        <x:v>1</x:v>
      </x:c>
      <x:c r="U134" s="12" t="str">
        <x:f>IF(T134=1,"OK","DUPLICATE")</x:f>
        <x:v>OK</x:v>
      </x:c>
    </x:row>
    <x:row r="135" ht="39.599998474121094" hidden="0" customHeight="1">
      <x:c r="A135" s="12" t="str">
        <x:v>Century Shoulder Pads</x:v>
      </x:c>
      <x:c r="B135" s="12" t="str">
        <x:v>CENTURY SHOULDER PADS</x:v>
      </x:c>
      <x:c r="C135" s="12" t="str">
        <x:v>body</x:v>
      </x:c>
      <x:c r="D135" s="12" t="str">
        <x:v>armor</x:v>
      </x:c>
      <x:c r="E135" s="12" t="str">
        <x:v>mid</x:v>
      </x:c>
      <x:c r="F135" s="12" t="str">
        <x:v>uncommon</x:v>
      </x:c>
      <x:c r="G135" s="12" t="str">
        <x:v>Century Shoulder Pads — Brace</x:v>
      </x:c>
      <x:c r="H135" s="34" t="n">
        <x:v>1</x:v>
      </x:c>
      <x:c r="I135" s="34" t="str">
        <x:v>skill</x:v>
      </x:c>
      <x:c r="J135" s="34" t="str"/>
      <x:c r="K135" s="34" t="str"/>
      <x:c r="L135" s="34" t="n">
        <x:v>3</x:v>
      </x:c>
      <x:c r="M135" s="12" t="str"/>
      <x:c r="N135" s="12" t="str">
        <x:v>Defensive, Party, WoundCare</x:v>
      </x:c>
      <x:c r="O135" s="12" t="str">
        <x:v>Gain 3 block and Guarded 3. If hit before your next turn, reduce Shock or Panic by 1.</x:v>
      </x:c>
      <x:c r="P135" s="12" t="str">
        <x:v>Gain 3 block and Guarded 3. If the next monster hit lands before your next turn, reduce Shock or Panic by 1 after damage. If this would drop you to 0 HP, resolve the card first, then die if still at 0 HP.</x:v>
      </x:c>
      <x:c r="Q135" s="12" t="str"/>
      <x:c r="R135" s="12" t="str">
        <x:v>quirk: lastLight</x:v>
      </x:c>
      <x:c r="S135" s="12" t="str">
        <x:v>84546260babb</x:v>
      </x:c>
      <x:c r="T135" s="12" t="n">
        <x:f>COUNTIF($S$2:$S$757,S135)</x:f>
        <x:v>1</x:v>
      </x:c>
      <x:c r="U135" s="12" t="str">
        <x:f>IF(T135=1,"OK","DUPLICATE")</x:f>
        <x:v>OK</x:v>
      </x:c>
    </x:row>
    <x:row r="136" ht="39.599998474121094" hidden="0" customHeight="1">
      <x:c r="A136" s="12" t="str">
        <x:v>Century Shoulder Pads</x:v>
      </x:c>
      <x:c r="B136" s="12" t="str">
        <x:v>CENTURY SHOULDER PADS</x:v>
      </x:c>
      <x:c r="C136" s="12" t="str">
        <x:v>body</x:v>
      </x:c>
      <x:c r="D136" s="12" t="str">
        <x:v>armor</x:v>
      </x:c>
      <x:c r="E136" s="12" t="str">
        <x:v>mid</x:v>
      </x:c>
      <x:c r="F136" s="12" t="str">
        <x:v>uncommon</x:v>
      </x:c>
      <x:c r="G136" s="12" t="str">
        <x:v>Century Shoulder Pads — Fitted Plate</x:v>
      </x:c>
      <x:c r="H136" s="34" t="n">
        <x:v>1</x:v>
      </x:c>
      <x:c r="I136" s="34" t="str">
        <x:v>reaction</x:v>
      </x:c>
      <x:c r="J136" s="34" t="str"/>
      <x:c r="K136" s="34" t="str"/>
      <x:c r="L136" s="34" t="n">
        <x:v>6</x:v>
      </x:c>
      <x:c r="M136" s="12" t="str"/>
      <x:c r="N136" s="12" t="str">
        <x:v>Defensive, Party, WoundCare, Reaction</x:v>
      </x:c>
      <x:c r="O136" s="12" t="str">
        <x:v>After damage is previewed, prevent 6 damage. Then give the next ally Guarded 2.</x:v>
      </x:c>
      <x:c r="P136" s="12" t="str">
        <x:v>After incoming damage is previewed, prevent 6 damage with the body slot. Then the next ally gains Guarded 2. If this would drop you to 0 HP, resolve the card first, then die if still at 0 HP.</x:v>
      </x:c>
      <x:c r="Q136" s="12" t="str"/>
      <x:c r="R136" s="12" t="str">
        <x:v>quirk: lastLight</x:v>
      </x:c>
      <x:c r="S136" s="12" t="str">
        <x:v>750ed1b60d50</x:v>
      </x:c>
      <x:c r="T136" s="12" t="n">
        <x:f>COUNTIF($S$2:$S$757,S136)</x:f>
        <x:v>1</x:v>
      </x:c>
      <x:c r="U136" s="12" t="str">
        <x:f>IF(T136=1,"OK","DUPLICATE")</x:f>
        <x:v>OK</x:v>
      </x:c>
    </x:row>
    <x:row r="137" ht="52.79999923706055" hidden="0" customHeight="1">
      <x:c r="A137" s="12" t="str">
        <x:v>Chentu</x:v>
      </x:c>
      <x:c r="B137" s="12" t="str">
        <x:v>CHENTU</x:v>
      </x:c>
      <x:c r="C137" s="12" t="str">
        <x:v>tool</x:v>
      </x:c>
      <x:c r="D137" s="12" t="str">
        <x:v>tool</x:v>
      </x:c>
      <x:c r="E137" s="12" t="str">
        <x:v>early</x:v>
      </x:c>
      <x:c r="F137" s="12" t="str">
        <x:v>uncommon</x:v>
      </x:c>
      <x:c r="G137" s="12" t="str">
        <x:v>Chentu — Use</x:v>
      </x:c>
      <x:c r="H137" s="34" t="n">
        <x:v>1</x:v>
      </x:c>
      <x:c r="I137" s="34" t="str">
        <x:v>skill</x:v>
      </x:c>
      <x:c r="J137" s="34" t="str"/>
      <x:c r="K137" s="34" t="str"/>
      <x:c r="L137" s="34" t="str"/>
      <x:c r="M137" s="12" t="str">
        <x:v>Snared 1</x:v>
      </x:c>
      <x:c r="N137" s="12" t="str">
        <x:v>Tool, Harvest, Retreat</x:v>
      </x:c>
      <x:c r="O137" s="12" t="str">
        <x:v>Gain +1 to the next harvest, retreat, or weak-point test. If it fails, apply Snared 1 to the quarry or clear it from a survivor.</x:v>
      </x:c>
      <x:c r="P137" s="12" t="str">
        <x:v>Gain +1 to the next harvest, retreat, or weak-point test linked to Stone Circle. On failure, either apply Snared 1 to the quarry or clear that status from a survivor. If this breaks a weak point, improve harvest quality by one step unless it is already Clean.</x:v>
      </x:c>
      <x:c r="Q137" s="12" t="str"/>
      <x:c r="R137" s="12" t="str">
        <x:v>quirk: harvest</x:v>
      </x:c>
      <x:c r="S137" s="12" t="str">
        <x:v>7c5673193fab</x:v>
      </x:c>
      <x:c r="T137" s="12" t="n">
        <x:f>COUNTIF($S$2:$S$757,S137)</x:f>
        <x:v>1</x:v>
      </x:c>
      <x:c r="U137" s="12" t="str">
        <x:f>IF(T137=1,"OK","DUPLICATE")</x:f>
        <x:v>OK</x:v>
      </x:c>
    </x:row>
    <x:row r="138" ht="39.599998474121094" hidden="0" customHeight="1">
      <x:c r="A138" s="12" t="str">
        <x:v>Chentu</x:v>
      </x:c>
      <x:c r="B138" s="12" t="str">
        <x:v>CHENTU</x:v>
      </x:c>
      <x:c r="C138" s="12" t="str">
        <x:v>tool</x:v>
      </x:c>
      <x:c r="D138" s="12" t="str">
        <x:v>tool</x:v>
      </x:c>
      <x:c r="E138" s="12" t="str">
        <x:v>early</x:v>
      </x:c>
      <x:c r="F138" s="12" t="str">
        <x:v>uncommon</x:v>
      </x:c>
      <x:c r="G138" s="12" t="str">
        <x:v>Chentu — Contingency</x:v>
      </x:c>
      <x:c r="H138" s="34" t="n">
        <x:v>1</x:v>
      </x:c>
      <x:c r="I138" s="34" t="str">
        <x:v>reaction</x:v>
      </x:c>
      <x:c r="J138" s="34" t="str"/>
      <x:c r="K138" s="34" t="str"/>
      <x:c r="L138" s="34" t="str"/>
      <x:c r="M138" s="12" t="str"/>
      <x:c r="N138" s="12" t="str">
        <x:v>Tool, Harvest, Retreat</x:v>
      </x:c>
      <x:c r="O138" s="12" t="str">
        <x:v>When a hunt or monster consequence is previewed, reduce it by 1; on retreat, preserve 2 gathered resource.</x:v>
      </x:c>
      <x:c r="P138" s="12" t="str">
        <x:v>When a hunt event, retreat roll, or monster consequence is previewed, reduce the penalty by 1. If retreating, preserve 2 gathered resource. If this breaks a weak point, improve harvest quality by one step unless it is already Clean.</x:v>
      </x:c>
      <x:c r="Q138" s="12" t="str"/>
      <x:c r="R138" s="12" t="str">
        <x:v>quirk: harvest</x:v>
      </x:c>
      <x:c r="S138" s="12" t="str">
        <x:v>56bbf00b7ca4</x:v>
      </x:c>
      <x:c r="T138" s="12" t="n">
        <x:f>COUNTIF($S$2:$S$757,S138)</x:f>
        <x:v>1</x:v>
      </x:c>
      <x:c r="U138" s="12" t="str">
        <x:f>IF(T138=1,"OK","DUPLICATE")</x:f>
        <x:v>OK</x:v>
      </x:c>
    </x:row>
    <x:row r="139" ht="39.599998474121094" hidden="0" customHeight="1">
      <x:c r="A139" s="12" t="str">
        <x:v>Claw Head Arrow</x:v>
      </x:c>
      <x:c r="B139" s="12" t="str">
        <x:v>CLAW HEAD ARROW</x:v>
      </x:c>
      <x:c r="C139" s="12" t="str">
        <x:v>head</x:v>
      </x:c>
      <x:c r="D139" s="12" t="str">
        <x:v>bow</x:v>
      </x:c>
      <x:c r="E139" s="12" t="str">
        <x:v>early</x:v>
      </x:c>
      <x:c r="F139" s="12" t="str">
        <x:v>uncommon</x:v>
      </x:c>
      <x:c r="G139" s="12" t="str">
        <x:v>Claw Head Arrow — Opening Strike</x:v>
      </x:c>
      <x:c r="H139" s="34" t="n">
        <x:v>1</x:v>
      </x:c>
      <x:c r="I139" s="34" t="str">
        <x:v>attack</x:v>
      </x:c>
      <x:c r="J139" s="34" t="n">
        <x:v>2</x:v>
      </x:c>
      <x:c r="K139" s="34" t="n">
        <x:v>2</x:v>
      </x:c>
      <x:c r="L139" s="34" t="str"/>
      <x:c r="M139" s="12" t="str">
        <x:v>Bleed 2 | Target: White Lion</x:v>
      </x:c>
      <x:c r="N139" s="12" t="str">
        <x:v>Ranged, Marking, Precise, Attack</x:v>
      </x:c>
      <x:c r="O139" s="12" t="str">
        <x:v>Deal 2 damage. Apply Bleed 2 if the target has a White Lion weak point, otherwise gain Marked 1.</x:v>
      </x:c>
      <x:c r="P139" s="12" t="str">
        <x:v>Deal 2 damage with Claw Head Arrow. Apply Bleed 2 against a matching White Lion weak point; otherwise apply Marked 1. If you have no Bleed, Poison or Burn, add +1 to all listed values.</x:v>
      </x:c>
      <x:c r="Q139" s="12" t="str"/>
      <x:c r="R139" s="12" t="str">
        <x:v>quirk: cleanHands</x:v>
      </x:c>
      <x:c r="S139" s="12" t="str">
        <x:v>368b3e74dfdc</x:v>
      </x:c>
      <x:c r="T139" s="12" t="n">
        <x:f>COUNTIF($S$2:$S$757,S139)</x:f>
        <x:v>1</x:v>
      </x:c>
      <x:c r="U139" s="12" t="str">
        <x:f>IF(T139=1,"OK","DUPLICATE")</x:f>
        <x:v>OK</x:v>
      </x:c>
    </x:row>
    <x:row r="140" ht="26.399999618530273" hidden="0" customHeight="1">
      <x:c r="A140" s="12" t="str">
        <x:v>Claw Head Arrow</x:v>
      </x:c>
      <x:c r="B140" s="12" t="str">
        <x:v>CLAW HEAD ARROW</x:v>
      </x:c>
      <x:c r="C140" s="12" t="str">
        <x:v>head</x:v>
      </x:c>
      <x:c r="D140" s="12" t="str">
        <x:v>bow</x:v>
      </x:c>
      <x:c r="E140" s="12" t="str">
        <x:v>early</x:v>
      </x:c>
      <x:c r="F140" s="12" t="str">
        <x:v>uncommon</x:v>
      </x:c>
      <x:c r="G140" s="12" t="str">
        <x:v>Claw Head Arrow — Technique</x:v>
      </x:c>
      <x:c r="H140" s="34" t="n">
        <x:v>1</x:v>
      </x:c>
      <x:c r="I140" s="34" t="str">
        <x:v>skill</x:v>
      </x:c>
      <x:c r="J140" s="34" t="str"/>
      <x:c r="K140" s="34" t="str"/>
      <x:c r="L140" s="34" t="n">
        <x:v>2</x:v>
      </x:c>
      <x:c r="M140" s="12" t="str">
        <x:v>Opens: True</x:v>
      </x:c>
      <x:c r="N140" s="12" t="str">
        <x:v>Ranged, Marking, Precise, Setup</x:v>
      </x:c>
      <x:c r="O140" s="12" t="str">
        <x:v>Mark a wing, eye or distant weak point; ranged attacks ignore Guarded 1. Also gain 2 block.</x:v>
      </x:c>
      <x:c r="P140" s="12" t="str">
        <x:v>Mark a wing, eye or distant weak point; ranged attacks ignore Guarded 1. Gain 2 block. If you have no Bleed, Poison or Burn, add +1 to all listed values.</x:v>
      </x:c>
      <x:c r="Q140" s="12" t="str"/>
      <x:c r="R140" s="12" t="str">
        <x:v>quirk: cleanHands</x:v>
      </x:c>
      <x:c r="S140" s="12" t="str">
        <x:v>7715ed9af8a3</x:v>
      </x:c>
      <x:c r="T140" s="12" t="n">
        <x:f>COUNTIF($S$2:$S$757,S140)</x:f>
        <x:v>1</x:v>
      </x:c>
      <x:c r="U140" s="12" t="str">
        <x:f>IF(T140=1,"OK","DUPLICATE")</x:f>
        <x:v>OK</x:v>
      </x:c>
    </x:row>
    <x:row r="141" ht="26.399999618530273" hidden="0" customHeight="1">
      <x:c r="A141" s="12" t="str">
        <x:v>Claw Head Arrow</x:v>
      </x:c>
      <x:c r="B141" s="12" t="str">
        <x:v>CLAW HEAD ARROW</x:v>
      </x:c>
      <x:c r="C141" s="12" t="str">
        <x:v>head</x:v>
      </x:c>
      <x:c r="D141" s="12" t="str">
        <x:v>bow</x:v>
      </x:c>
      <x:c r="E141" s="12" t="str">
        <x:v>early</x:v>
      </x:c>
      <x:c r="F141" s="12" t="str">
        <x:v>uncommon</x:v>
      </x:c>
      <x:c r="G141" s="12" t="str">
        <x:v>Claw Head Arrow — Payoff</x:v>
      </x:c>
      <x:c r="H141" s="34" t="n">
        <x:v>2</x:v>
      </x:c>
      <x:c r="I141" s="34" t="str">
        <x:v>attack</x:v>
      </x:c>
      <x:c r="J141" s="34" t="n">
        <x:v>6</x:v>
      </x:c>
      <x:c r="K141" s="34" t="n">
        <x:v>3</x:v>
      </x:c>
      <x:c r="L141" s="34" t="str"/>
      <x:c r="M141" s="12" t="str">
        <x:v>Bleed 1</x:v>
      </x:c>
      <x:c r="N141" s="12" t="str">
        <x:v>Ranged, Marking, Precise, Payoff, WeakPoint</x:v>
      </x:c>
      <x:c r="O141" s="12" t="str">
        <x:v>Deal 6 damage and 3 break damage. If this breaks a weak point, resolve Bleed 1 and the cleanHands rider.</x:v>
      </x:c>
      <x:c r="P141" s="12" t="str">
        <x:v>Deal 6 damage and 3 break damage. If the weak point breaks, apply Bleed 1 and resolve: If you have no Bleed, Poison or Burn, add +1 to all listed values.</x:v>
      </x:c>
      <x:c r="Q141" s="12" t="str"/>
      <x:c r="R141" s="12" t="str">
        <x:v>quirk: cleanHands | countsAsCounter False, firstCounterFree False</x:v>
      </x:c>
      <x:c r="S141" s="12" t="str">
        <x:v>7dda59a40774</x:v>
      </x:c>
      <x:c r="T141" s="12" t="n">
        <x:f>COUNTIF($S$2:$S$757,S141)</x:f>
        <x:v>1</x:v>
      </x:c>
      <x:c r="U141" s="12" t="str">
        <x:f>IF(T141=1,"OK","DUPLICATE")</x:f>
        <x:v>OK</x:v>
      </x:c>
    </x:row>
    <x:row r="142" ht="39.599998474121094" hidden="0" customHeight="1">
      <x:c r="A142" s="12" t="str">
        <x:v>Cloth Armor Set</x:v>
      </x:c>
      <x:c r="B142" s="12" t="str">
        <x:v>CLOTH ARMOR SET</x:v>
      </x:c>
      <x:c r="C142" s="12" t="str">
        <x:v>set</x:v>
      </x:c>
      <x:c r="D142" s="12" t="str">
        <x:v>armor</x:v>
      </x:c>
      <x:c r="E142" s="12" t="str">
        <x:v>mid</x:v>
      </x:c>
      <x:c r="F142" s="12" t="str">
        <x:v>uncommon</x:v>
      </x:c>
      <x:c r="G142" s="12" t="str">
        <x:v>Cloth Armor Set — Brace</x:v>
      </x:c>
      <x:c r="H142" s="34" t="n">
        <x:v>1</x:v>
      </x:c>
      <x:c r="I142" s="34" t="str">
        <x:v>skill</x:v>
      </x:c>
      <x:c r="J142" s="34" t="str"/>
      <x:c r="K142" s="34" t="str"/>
      <x:c r="L142" s="34" t="n">
        <x:v>6</x:v>
      </x:c>
      <x:c r="M142" s="12" t="str"/>
      <x:c r="N142" s="12" t="str">
        <x:v>Defensive, Party, WoundCare</x:v>
      </x:c>
      <x:c r="O142" s="12" t="str">
        <x:v>Gain 6 block and Guarded 3. If hit before your next turn, reduce Blind or Panic by 1.</x:v>
      </x:c>
      <x:c r="P142" s="12" t="str">
        <x:v>Gain 6 block and Guarded 3. If the next monster hit lands before your next turn, reduce Blind or Panic by 1 after damage. If the quarry is below half HP, add +1 break damage.</x:v>
      </x:c>
      <x:c r="Q142" s="12" t="str"/>
      <x:c r="R142" s="12" t="str">
        <x:v>quirk: bloodied</x:v>
      </x:c>
      <x:c r="S142" s="12" t="str">
        <x:v>4972e364546a</x:v>
      </x:c>
      <x:c r="T142" s="12" t="n">
        <x:f>COUNTIF($S$2:$S$757,S142)</x:f>
        <x:v>1</x:v>
      </x:c>
      <x:c r="U142" s="12" t="str">
        <x:f>IF(T142=1,"OK","DUPLICATE")</x:f>
        <x:v>OK</x:v>
      </x:c>
    </x:row>
    <x:row r="143" ht="26.399999618530273" hidden="0" customHeight="1">
      <x:c r="A143" s="12" t="str">
        <x:v>Cloth Armor Set</x:v>
      </x:c>
      <x:c r="B143" s="12" t="str">
        <x:v>CLOTH ARMOR SET</x:v>
      </x:c>
      <x:c r="C143" s="12" t="str">
        <x:v>set</x:v>
      </x:c>
      <x:c r="D143" s="12" t="str">
        <x:v>armor</x:v>
      </x:c>
      <x:c r="E143" s="12" t="str">
        <x:v>mid</x:v>
      </x:c>
      <x:c r="F143" s="12" t="str">
        <x:v>uncommon</x:v>
      </x:c>
      <x:c r="G143" s="12" t="str">
        <x:v>Cloth Armor Set — Setline</x:v>
      </x:c>
      <x:c r="H143" s="34" t="n">
        <x:v>2</x:v>
      </x:c>
      <x:c r="I143" s="34" t="str">
        <x:v>reaction</x:v>
      </x:c>
      <x:c r="J143" s="34" t="str"/>
      <x:c r="K143" s="34" t="str"/>
      <x:c r="L143" s="34" t="n">
        <x:v>9</x:v>
      </x:c>
      <x:c r="M143" s="12" t="str"/>
      <x:c r="N143" s="12" t="str">
        <x:v>Defensive, Party, WoundCare, Reaction</x:v>
      </x:c>
      <x:c r="O143" s="12" t="str">
        <x:v>After damage is previewed, prevent 9 damage. Then give the next ally Guarded 2.</x:v>
      </x:c>
      <x:c r="P143" s="12" t="str">
        <x:v>After incoming damage is previewed, prevent 9 damage with the set slot. Then the next ally gains Guarded 2. If the quarry is below half HP, add +1 break damage.</x:v>
      </x:c>
      <x:c r="Q143" s="12" t="str"/>
      <x:c r="R143" s="12" t="str">
        <x:v>quirk: bloodied</x:v>
      </x:c>
      <x:c r="S143" s="12" t="str">
        <x:v>6742c0cca9cd</x:v>
      </x:c>
      <x:c r="T143" s="12" t="n">
        <x:f>COUNTIF($S$2:$S$757,S143)</x:f>
        <x:v>1</x:v>
      </x:c>
      <x:c r="U143" s="12" t="str">
        <x:f>IF(T143=1,"OK","DUPLICATE")</x:f>
        <x:v>OK</x:v>
      </x:c>
    </x:row>
    <x:row r="144" ht="39.599998474121094" hidden="0" customHeight="1">
      <x:c r="A144" s="12" t="str">
        <x:v>Cloth Bracers</x:v>
      </x:c>
      <x:c r="B144" s="12" t="str">
        <x:v>CLOTH BRACERS</x:v>
      </x:c>
      <x:c r="C144" s="12" t="str">
        <x:v>arms</x:v>
      </x:c>
      <x:c r="D144" s="12" t="str">
        <x:v>armor</x:v>
      </x:c>
      <x:c r="E144" s="12" t="str">
        <x:v>mid</x:v>
      </x:c>
      <x:c r="F144" s="12" t="str">
        <x:v>uncommon</x:v>
      </x:c>
      <x:c r="G144" s="12" t="str">
        <x:v>Cloth Bracers — Brace</x:v>
      </x:c>
      <x:c r="H144" s="34" t="n">
        <x:v>1</x:v>
      </x:c>
      <x:c r="I144" s="34" t="str">
        <x:v>skill</x:v>
      </x:c>
      <x:c r="J144" s="34" t="str"/>
      <x:c r="K144" s="34" t="str"/>
      <x:c r="L144" s="34" t="n">
        <x:v>3</x:v>
      </x:c>
      <x:c r="M144" s="12" t="str"/>
      <x:c r="N144" s="12" t="str">
        <x:v>Defensive, Party, WoundCare</x:v>
      </x:c>
      <x:c r="O144" s="12" t="str">
        <x:v>Gain 3 block and Guarded 1. If hit before your next turn, reduce Stagger or Panic by 1.</x:v>
      </x:c>
      <x:c r="P144" s="12" t="str">
        <x:v>Gain 3 block and Guarded 1. If the next monster hit lands before your next turn, reduce Stagger or Panic by 1 after damage. If the quarry is Marked, draw 1 then discard 1.</x:v>
      </x:c>
      <x:c r="Q144" s="12" t="str"/>
      <x:c r="R144" s="12" t="str">
        <x:v>quirk: marked</x:v>
      </x:c>
      <x:c r="S144" s="12" t="str">
        <x:v>118dbe3d7ec2</x:v>
      </x:c>
      <x:c r="T144" s="12" t="n">
        <x:f>COUNTIF($S$2:$S$757,S144)</x:f>
        <x:v>1</x:v>
      </x:c>
      <x:c r="U144" s="12" t="str">
        <x:f>IF(T144=1,"OK","DUPLICATE")</x:f>
        <x:v>OK</x:v>
      </x:c>
    </x:row>
    <x:row r="145" ht="26.399999618530273" hidden="0" customHeight="1">
      <x:c r="A145" s="12" t="str">
        <x:v>Cloth Bracers</x:v>
      </x:c>
      <x:c r="B145" s="12" t="str">
        <x:v>CLOTH BRACERS</x:v>
      </x:c>
      <x:c r="C145" s="12" t="str">
        <x:v>arms</x:v>
      </x:c>
      <x:c r="D145" s="12" t="str">
        <x:v>armor</x:v>
      </x:c>
      <x:c r="E145" s="12" t="str">
        <x:v>mid</x:v>
      </x:c>
      <x:c r="F145" s="12" t="str">
        <x:v>uncommon</x:v>
      </x:c>
      <x:c r="G145" s="12" t="str">
        <x:v>Cloth Bracers — Fitted Plate</x:v>
      </x:c>
      <x:c r="H145" s="34" t="n">
        <x:v>1</x:v>
      </x:c>
      <x:c r="I145" s="34" t="str">
        <x:v>reaction</x:v>
      </x:c>
      <x:c r="J145" s="34" t="str"/>
      <x:c r="K145" s="34" t="str"/>
      <x:c r="L145" s="34" t="n">
        <x:v>4</x:v>
      </x:c>
      <x:c r="M145" s="12" t="str"/>
      <x:c r="N145" s="12" t="str">
        <x:v>Defensive, Party, WoundCare, Reaction</x:v>
      </x:c>
      <x:c r="O145" s="12" t="str">
        <x:v>After damage is previewed, prevent 4 damage. Then give the next ally Guarded 2.</x:v>
      </x:c>
      <x:c r="P145" s="12" t="str">
        <x:v>After incoming damage is previewed, prevent 4 damage with the arms slot. Then the next ally gains Guarded 2. If the quarry is Marked, draw 1 then discard 1.</x:v>
      </x:c>
      <x:c r="Q145" s="12" t="str"/>
      <x:c r="R145" s="12" t="str">
        <x:v>quirk: marked</x:v>
      </x:c>
      <x:c r="S145" s="12" t="str">
        <x:v>4a9234142339</x:v>
      </x:c>
      <x:c r="T145" s="12" t="n">
        <x:f>COUNTIF($S$2:$S$757,S145)</x:f>
        <x:v>1</x:v>
      </x:c>
      <x:c r="U145" s="12" t="str">
        <x:f>IF(T145=1,"OK","DUPLICATE")</x:f>
        <x:v>OK</x:v>
      </x:c>
    </x:row>
    <x:row r="146" ht="39.599998474121094" hidden="0" customHeight="1">
      <x:c r="A146" s="12" t="str">
        <x:v>Cloth Galoshes</x:v>
      </x:c>
      <x:c r="B146" s="12" t="str">
        <x:v>CLOTH GALOSHES</x:v>
      </x:c>
      <x:c r="C146" s="12" t="str">
        <x:v>legs</x:v>
      </x:c>
      <x:c r="D146" s="12" t="str">
        <x:v>armor</x:v>
      </x:c>
      <x:c r="E146" s="12" t="str">
        <x:v>mid</x:v>
      </x:c>
      <x:c r="F146" s="12" t="str">
        <x:v>uncommon</x:v>
      </x:c>
      <x:c r="G146" s="12" t="str">
        <x:v>Cloth Galoshes — Brace</x:v>
      </x:c>
      <x:c r="H146" s="34" t="n">
        <x:v>1</x:v>
      </x:c>
      <x:c r="I146" s="34" t="str">
        <x:v>skill</x:v>
      </x:c>
      <x:c r="J146" s="34" t="str"/>
      <x:c r="K146" s="34" t="str"/>
      <x:c r="L146" s="34" t="n">
        <x:v>4</x:v>
      </x:c>
      <x:c r="M146" s="12" t="str"/>
      <x:c r="N146" s="12" t="str">
        <x:v>Defensive, Party, WoundCare</x:v>
      </x:c>
      <x:c r="O146" s="12" t="str">
        <x:v>Gain 4 block and Guarded 2. If hit before your next turn, reduce Exposed or Panic by 1.</x:v>
      </x:c>
      <x:c r="P146" s="12" t="str">
        <x:v>Gain 4 block and Guarded 2. If the next monster hit lands before your next turn, reduce Exposed or Panic by 1 after damage. If you have Guarded, convert 1 Guarded into +2 damage.</x:v>
      </x:c>
      <x:c r="Q146" s="12" t="str"/>
      <x:c r="R146" s="12" t="str">
        <x:v>quirk: guarded</x:v>
      </x:c>
      <x:c r="S146" s="12" t="str">
        <x:v>9c23cc2fca82</x:v>
      </x:c>
      <x:c r="T146" s="12" t="n">
        <x:f>COUNTIF($S$2:$S$757,S146)</x:f>
        <x:v>1</x:v>
      </x:c>
      <x:c r="U146" s="12" t="str">
        <x:f>IF(T146=1,"OK","DUPLICATE")</x:f>
        <x:v>OK</x:v>
      </x:c>
    </x:row>
    <x:row r="147" ht="39.599998474121094" hidden="0" customHeight="1">
      <x:c r="A147" s="12" t="str">
        <x:v>Cloth Galoshes</x:v>
      </x:c>
      <x:c r="B147" s="12" t="str">
        <x:v>CLOTH GALOSHES</x:v>
      </x:c>
      <x:c r="C147" s="12" t="str">
        <x:v>legs</x:v>
      </x:c>
      <x:c r="D147" s="12" t="str">
        <x:v>armor</x:v>
      </x:c>
      <x:c r="E147" s="12" t="str">
        <x:v>mid</x:v>
      </x:c>
      <x:c r="F147" s="12" t="str">
        <x:v>uncommon</x:v>
      </x:c>
      <x:c r="G147" s="12" t="str">
        <x:v>Cloth Galoshes — Fitted Plate</x:v>
      </x:c>
      <x:c r="H147" s="34" t="n">
        <x:v>2</x:v>
      </x:c>
      <x:c r="I147" s="34" t="str">
        <x:v>reaction</x:v>
      </x:c>
      <x:c r="J147" s="34" t="str"/>
      <x:c r="K147" s="34" t="str"/>
      <x:c r="L147" s="34" t="n">
        <x:v>6</x:v>
      </x:c>
      <x:c r="M147" s="12" t="str"/>
      <x:c r="N147" s="12" t="str">
        <x:v>Defensive, Party, WoundCare, Reaction</x:v>
      </x:c>
      <x:c r="O147" s="12" t="str">
        <x:v>After damage is previewed, prevent 6 damage. Then give the next ally Guarded 2.</x:v>
      </x:c>
      <x:c r="P147" s="12" t="str">
        <x:v>After incoming damage is previewed, prevent 6 damage with the legs slot. Then the next ally gains Guarded 2. If you have Guarded, convert 1 Guarded into +2 damage.</x:v>
      </x:c>
      <x:c r="Q147" s="12" t="str"/>
      <x:c r="R147" s="12" t="str">
        <x:v>quirk: guarded</x:v>
      </x:c>
      <x:c r="S147" s="12" t="str">
        <x:v>2a9c1c77f8cc</x:v>
      </x:c>
      <x:c r="T147" s="12" t="n">
        <x:f>COUNTIF($S$2:$S$757,S147)</x:f>
        <x:v>1</x:v>
      </x:c>
      <x:c r="U147" s="12" t="str">
        <x:f>IF(T147=1,"OK","DUPLICATE")</x:f>
        <x:v>OK</x:v>
      </x:c>
    </x:row>
    <x:row r="148" ht="39.599998474121094" hidden="0" customHeight="1">
      <x:c r="A148" s="12" t="str">
        <x:v>Cloth Leggings</x:v>
      </x:c>
      <x:c r="B148" s="12" t="str">
        <x:v>CLOTH LEGGINGS</x:v>
      </x:c>
      <x:c r="C148" s="12" t="str">
        <x:v>waist</x:v>
      </x:c>
      <x:c r="D148" s="12" t="str">
        <x:v>armor</x:v>
      </x:c>
      <x:c r="E148" s="12" t="str">
        <x:v>early</x:v>
      </x:c>
      <x:c r="F148" s="12" t="str">
        <x:v>uncommon</x:v>
      </x:c>
      <x:c r="G148" s="12" t="str">
        <x:v>Cloth Leggings — Brace</x:v>
      </x:c>
      <x:c r="H148" s="34" t="n">
        <x:v>1</x:v>
      </x:c>
      <x:c r="I148" s="34" t="str">
        <x:v>skill</x:v>
      </x:c>
      <x:c r="J148" s="34" t="str"/>
      <x:c r="K148" s="34" t="str"/>
      <x:c r="L148" s="34" t="n">
        <x:v>4</x:v>
      </x:c>
      <x:c r="M148" s="12" t="str"/>
      <x:c r="N148" s="12" t="str">
        <x:v>Defensive, Party, WoundCare</x:v>
      </x:c>
      <x:c r="O148" s="12" t="str">
        <x:v>Gain 4 block and Guarded 3. If hit before your next turn, reduce Marked or Panic by 1.</x:v>
      </x:c>
      <x:c r="P148" s="12" t="str">
        <x:v>Gain 4 block and Guarded 3. If the next monster hit lands before your next turn, reduce Marked or Panic by 1 after damage. If you have any wound, add +1 damage but gain Panic 1.</x:v>
      </x:c>
      <x:c r="Q148" s="12" t="str"/>
      <x:c r="R148" s="12" t="str">
        <x:v>quirk: wounded</x:v>
      </x:c>
      <x:c r="S148" s="12" t="str">
        <x:v>34f444f6c34a</x:v>
      </x:c>
      <x:c r="T148" s="12" t="n">
        <x:f>COUNTIF($S$2:$S$757,S148)</x:f>
        <x:v>1</x:v>
      </x:c>
      <x:c r="U148" s="12" t="str">
        <x:f>IF(T148=1,"OK","DUPLICATE")</x:f>
        <x:v>OK</x:v>
      </x:c>
    </x:row>
    <x:row r="149" ht="39.599998474121094" hidden="0" customHeight="1">
      <x:c r="A149" s="12" t="str">
        <x:v>Cloth Leggings</x:v>
      </x:c>
      <x:c r="B149" s="12" t="str">
        <x:v>CLOTH LEGGINGS</x:v>
      </x:c>
      <x:c r="C149" s="12" t="str">
        <x:v>waist</x:v>
      </x:c>
      <x:c r="D149" s="12" t="str">
        <x:v>armor</x:v>
      </x:c>
      <x:c r="E149" s="12" t="str">
        <x:v>early</x:v>
      </x:c>
      <x:c r="F149" s="12" t="str">
        <x:v>uncommon</x:v>
      </x:c>
      <x:c r="G149" s="12" t="str">
        <x:v>Cloth Leggings — Fitted Plate</x:v>
      </x:c>
      <x:c r="H149" s="34" t="n">
        <x:v>1</x:v>
      </x:c>
      <x:c r="I149" s="34" t="str">
        <x:v>reaction</x:v>
      </x:c>
      <x:c r="J149" s="34" t="str"/>
      <x:c r="K149" s="34" t="str"/>
      <x:c r="L149" s="34" t="n">
        <x:v>7</x:v>
      </x:c>
      <x:c r="M149" s="12" t="str"/>
      <x:c r="N149" s="12" t="str">
        <x:v>Defensive, Party, WoundCare, Reaction</x:v>
      </x:c>
      <x:c r="O149" s="12" t="str">
        <x:v>After damage is previewed, prevent 7 damage. Then give the next ally Guarded 1.</x:v>
      </x:c>
      <x:c r="P149" s="12" t="str">
        <x:v>After incoming damage is previewed, prevent 7 damage with the waist slot. Then the next ally gains Guarded 1. If you have any wound, add +1 damage but gain Panic 1.</x:v>
      </x:c>
      <x:c r="Q149" s="12" t="str"/>
      <x:c r="R149" s="12" t="str">
        <x:v>quirk: wounded</x:v>
      </x:c>
      <x:c r="S149" s="12" t="str">
        <x:v>5c33a0d90cf5</x:v>
      </x:c>
      <x:c r="T149" s="12" t="n">
        <x:f>COUNTIF($S$2:$S$757,S149)</x:f>
        <x:v>1</x:v>
      </x:c>
      <x:c r="U149" s="12" t="str">
        <x:f>IF(T149=1,"OK","DUPLICATE")</x:f>
        <x:v>OK</x:v>
      </x:c>
    </x:row>
    <x:row r="150" ht="39.599998474121094" hidden="0" customHeight="1">
      <x:c r="A150" s="12" t="str">
        <x:v>Cloth Pants</x:v>
      </x:c>
      <x:c r="B150" s="12" t="str">
        <x:v>CLOTH PANTS</x:v>
      </x:c>
      <x:c r="C150" s="12" t="str">
        <x:v>waist</x:v>
      </x:c>
      <x:c r="D150" s="12" t="str">
        <x:v>armor</x:v>
      </x:c>
      <x:c r="E150" s="12" t="str">
        <x:v>mid</x:v>
      </x:c>
      <x:c r="F150" s="12" t="str">
        <x:v>uncommon</x:v>
      </x:c>
      <x:c r="G150" s="12" t="str">
        <x:v>Cloth Pants — Brace</x:v>
      </x:c>
      <x:c r="H150" s="34" t="n">
        <x:v>1</x:v>
      </x:c>
      <x:c r="I150" s="34" t="str">
        <x:v>skill</x:v>
      </x:c>
      <x:c r="J150" s="34" t="str"/>
      <x:c r="K150" s="34" t="str"/>
      <x:c r="L150" s="34" t="n">
        <x:v>6</x:v>
      </x:c>
      <x:c r="M150" s="12" t="str"/>
      <x:c r="N150" s="12" t="str">
        <x:v>Defensive, Party, WoundCare</x:v>
      </x:c>
      <x:c r="O150" s="12" t="str">
        <x:v>Gain 6 block and Guarded 1. If hit before your next turn, reduce Bleed or Panic by 1.</x:v>
      </x:c>
      <x:c r="P150" s="12" t="str">
        <x:v>Gain 6 block and Guarded 1. If the next monster hit lands before your next turn, reduce Bleed or Panic by 1 after damage. If this breaks a weak point, improve harvest quality by one step unless it is already Clean.</x:v>
      </x:c>
      <x:c r="Q150" s="12" t="str"/>
      <x:c r="R150" s="12" t="str">
        <x:v>quirk: harvest</x:v>
      </x:c>
      <x:c r="S150" s="12" t="str">
        <x:v>d194121189a8</x:v>
      </x:c>
      <x:c r="T150" s="12" t="n">
        <x:f>COUNTIF($S$2:$S$757,S150)</x:f>
        <x:v>1</x:v>
      </x:c>
      <x:c r="U150" s="12" t="str">
        <x:f>IF(T150=1,"OK","DUPLICATE")</x:f>
        <x:v>OK</x:v>
      </x:c>
    </x:row>
    <x:row r="151" ht="39.599998474121094" hidden="0" customHeight="1">
      <x:c r="A151" s="12" t="str">
        <x:v>Cloth Pants</x:v>
      </x:c>
      <x:c r="B151" s="12" t="str">
        <x:v>CLOTH PANTS</x:v>
      </x:c>
      <x:c r="C151" s="12" t="str">
        <x:v>waist</x:v>
      </x:c>
      <x:c r="D151" s="12" t="str">
        <x:v>armor</x:v>
      </x:c>
      <x:c r="E151" s="12" t="str">
        <x:v>mid</x:v>
      </x:c>
      <x:c r="F151" s="12" t="str">
        <x:v>uncommon</x:v>
      </x:c>
      <x:c r="G151" s="12" t="str">
        <x:v>Cloth Pants — Fitted Plate</x:v>
      </x:c>
      <x:c r="H151" s="34" t="n">
        <x:v>2</x:v>
      </x:c>
      <x:c r="I151" s="34" t="str">
        <x:v>reaction</x:v>
      </x:c>
      <x:c r="J151" s="34" t="str"/>
      <x:c r="K151" s="34" t="str"/>
      <x:c r="L151" s="34" t="n">
        <x:v>7</x:v>
      </x:c>
      <x:c r="M151" s="12" t="str"/>
      <x:c r="N151" s="12" t="str">
        <x:v>Defensive, Party, WoundCare, Reaction</x:v>
      </x:c>
      <x:c r="O151" s="12" t="str">
        <x:v>After damage is previewed, prevent 7 damage. Then give the next ally Guarded 2.</x:v>
      </x:c>
      <x:c r="P151" s="12" t="str">
        <x:v>After incoming damage is previewed, prevent 7 damage with the waist slot. Then the next ally gains Guarded 2. If this breaks a weak point, improve harvest quality by one step unless it is already Clean.</x:v>
      </x:c>
      <x:c r="Q151" s="12" t="str"/>
      <x:c r="R151" s="12" t="str">
        <x:v>quirk: harvest</x:v>
      </x:c>
      <x:c r="S151" s="12" t="str">
        <x:v>3decb8e4e47c</x:v>
      </x:c>
      <x:c r="T151" s="12" t="n">
        <x:f>COUNTIF($S$2:$S$757,S151)</x:f>
        <x:v>1</x:v>
      </x:c>
      <x:c r="U151" s="12" t="str">
        <x:f>IF(T151=1,"OK","DUPLICATE")</x:f>
        <x:v>OK</x:v>
      </x:c>
    </x:row>
    <x:row r="152" ht="39.599998474121094" hidden="0" customHeight="1">
      <x:c r="A152" s="12" t="str">
        <x:v>Cloth Robes</x:v>
      </x:c>
      <x:c r="B152" s="12" t="str">
        <x:v>CLOTH ROBES</x:v>
      </x:c>
      <x:c r="C152" s="12" t="str">
        <x:v>body</x:v>
      </x:c>
      <x:c r="D152" s="12" t="str">
        <x:v>armor</x:v>
      </x:c>
      <x:c r="E152" s="12" t="str">
        <x:v>mid</x:v>
      </x:c>
      <x:c r="F152" s="12" t="str">
        <x:v>uncommon</x:v>
      </x:c>
      <x:c r="G152" s="12" t="str">
        <x:v>Cloth Robes — Brace</x:v>
      </x:c>
      <x:c r="H152" s="34" t="n">
        <x:v>1</x:v>
      </x:c>
      <x:c r="I152" s="34" t="str">
        <x:v>skill</x:v>
      </x:c>
      <x:c r="J152" s="34" t="str"/>
      <x:c r="K152" s="34" t="str"/>
      <x:c r="L152" s="34" t="n">
        <x:v>3</x:v>
      </x:c>
      <x:c r="M152" s="12" t="str"/>
      <x:c r="N152" s="12" t="str">
        <x:v>Defensive, Party, WoundCare</x:v>
      </x:c>
      <x:c r="O152" s="12" t="str">
        <x:v>Gain 3 block and Guarded 2. If hit before your next turn, reduce Burn or Panic by 1.</x:v>
      </x:c>
      <x:c r="P152" s="12" t="str">
        <x:v>Gain 3 block and Guarded 2. If the next monster hit lands before your next turn, reduce Burn or Panic by 1 after damage. You may gain Panic 1 to increase the listed number by 2.</x:v>
      </x:c>
      <x:c r="Q152" s="12" t="str"/>
      <x:c r="R152" s="12" t="str">
        <x:v>quirk: panicBrake</x:v>
      </x:c>
      <x:c r="S152" s="12" t="str">
        <x:v>ddae0af21f35</x:v>
      </x:c>
      <x:c r="T152" s="12" t="n">
        <x:f>COUNTIF($S$2:$S$757,S152)</x:f>
        <x:v>1</x:v>
      </x:c>
      <x:c r="U152" s="12" t="str">
        <x:f>IF(T152=1,"OK","DUPLICATE")</x:f>
        <x:v>OK</x:v>
      </x:c>
    </x:row>
    <x:row r="153" ht="39.599998474121094" hidden="0" customHeight="1">
      <x:c r="A153" s="12" t="str">
        <x:v>Cloth Robes</x:v>
      </x:c>
      <x:c r="B153" s="12" t="str">
        <x:v>CLOTH ROBES</x:v>
      </x:c>
      <x:c r="C153" s="12" t="str">
        <x:v>body</x:v>
      </x:c>
      <x:c r="D153" s="12" t="str">
        <x:v>armor</x:v>
      </x:c>
      <x:c r="E153" s="12" t="str">
        <x:v>mid</x:v>
      </x:c>
      <x:c r="F153" s="12" t="str">
        <x:v>uncommon</x:v>
      </x:c>
      <x:c r="G153" s="12" t="str">
        <x:v>Cloth Robes — Fitted Plate</x:v>
      </x:c>
      <x:c r="H153" s="34" t="n">
        <x:v>1</x:v>
      </x:c>
      <x:c r="I153" s="34" t="str">
        <x:v>reaction</x:v>
      </x:c>
      <x:c r="J153" s="34" t="str"/>
      <x:c r="K153" s="34" t="str"/>
      <x:c r="L153" s="34" t="n">
        <x:v>5</x:v>
      </x:c>
      <x:c r="M153" s="12" t="str"/>
      <x:c r="N153" s="12" t="str">
        <x:v>Defensive, Party, WoundCare, Reaction</x:v>
      </x:c>
      <x:c r="O153" s="12" t="str">
        <x:v>After damage is previewed, prevent 5 damage. Then give the next ally Guarded 2.</x:v>
      </x:c>
      <x:c r="P153" s="12" t="str">
        <x:v>After incoming damage is previewed, prevent 5 damage with the body slot. Then the next ally gains Guarded 2. You may gain Panic 1 to increase the listed number by 2.</x:v>
      </x:c>
      <x:c r="Q153" s="12" t="str"/>
      <x:c r="R153" s="12" t="str">
        <x:v>quirk: panicBrake</x:v>
      </x:c>
      <x:c r="S153" s="12" t="str">
        <x:v>61d3b92db545</x:v>
      </x:c>
      <x:c r="T153" s="12" t="n">
        <x:f>COUNTIF($S$2:$S$757,S153)</x:f>
        <x:v>1</x:v>
      </x:c>
      <x:c r="U153" s="12" t="str">
        <x:f>IF(T153=1,"OK","DUPLICATE")</x:f>
        <x:v>OK</x:v>
      </x:c>
    </x:row>
    <x:row r="154" ht="39.599998474121094" hidden="0" customHeight="1">
      <x:c r="A154" s="12" t="str">
        <x:v>Cloth Turban</x:v>
      </x:c>
      <x:c r="B154" s="12" t="str">
        <x:v>CLOTH TURBAN</x:v>
      </x:c>
      <x:c r="C154" s="12" t="str">
        <x:v>head</x:v>
      </x:c>
      <x:c r="D154" s="12" t="str">
        <x:v>armor</x:v>
      </x:c>
      <x:c r="E154" s="12" t="str">
        <x:v>mid</x:v>
      </x:c>
      <x:c r="F154" s="12" t="str">
        <x:v>uncommon</x:v>
      </x:c>
      <x:c r="G154" s="12" t="str">
        <x:v>Cloth Turban — Brace</x:v>
      </x:c>
      <x:c r="H154" s="34" t="n">
        <x:v>1</x:v>
      </x:c>
      <x:c r="I154" s="34" t="str">
        <x:v>skill</x:v>
      </x:c>
      <x:c r="J154" s="34" t="str"/>
      <x:c r="K154" s="34" t="str"/>
      <x:c r="L154" s="34" t="n">
        <x:v>4</x:v>
      </x:c>
      <x:c r="M154" s="12" t="str"/>
      <x:c r="N154" s="12" t="str">
        <x:v>Defensive, Party, WoundCare</x:v>
      </x:c>
      <x:c r="O154" s="12" t="str">
        <x:v>Gain 4 block and Guarded 3. If hit before your next turn, reduce Poison or Panic by 1.</x:v>
      </x:c>
      <x:c r="P154" s="12" t="str">
        <x:v>Gain 4 block and Guarded 3. If the next monster hit lands before your next turn, reduce Poison or Panic by 1 after damage. Chosen ally gains Guarded 1 after this resolves.</x:v>
      </x:c>
      <x:c r="Q154" s="12" t="str"/>
      <x:c r="R154" s="12" t="str">
        <x:v>quirk: ally</x:v>
      </x:c>
      <x:c r="S154" s="12" t="str">
        <x:v>b7a7ee58cc72</x:v>
      </x:c>
      <x:c r="T154" s="12" t="n">
        <x:f>COUNTIF($S$2:$S$757,S154)</x:f>
        <x:v>1</x:v>
      </x:c>
      <x:c r="U154" s="12" t="str">
        <x:f>IF(T154=1,"OK","DUPLICATE")</x:f>
        <x:v>OK</x:v>
      </x:c>
    </x:row>
    <x:row r="155" ht="26.399999618530273" hidden="0" customHeight="1">
      <x:c r="A155" s="12" t="str">
        <x:v>Cloth Turban</x:v>
      </x:c>
      <x:c r="B155" s="12" t="str">
        <x:v>CLOTH TURBAN</x:v>
      </x:c>
      <x:c r="C155" s="12" t="str">
        <x:v>head</x:v>
      </x:c>
      <x:c r="D155" s="12" t="str">
        <x:v>armor</x:v>
      </x:c>
      <x:c r="E155" s="12" t="str">
        <x:v>mid</x:v>
      </x:c>
      <x:c r="F155" s="12" t="str">
        <x:v>uncommon</x:v>
      </x:c>
      <x:c r="G155" s="12" t="str">
        <x:v>Cloth Turban — Fitted Plate</x:v>
      </x:c>
      <x:c r="H155" s="34" t="n">
        <x:v>2</x:v>
      </x:c>
      <x:c r="I155" s="34" t="str">
        <x:v>reaction</x:v>
      </x:c>
      <x:c r="J155" s="34" t="str"/>
      <x:c r="K155" s="34" t="str"/>
      <x:c r="L155" s="34" t="n">
        <x:v>7</x:v>
      </x:c>
      <x:c r="M155" s="12" t="str"/>
      <x:c r="N155" s="12" t="str">
        <x:v>Defensive, Party, WoundCare, Reaction</x:v>
      </x:c>
      <x:c r="O155" s="12" t="str">
        <x:v>After damage is previewed, prevent 7 damage. Then give the next ally Guarded 2.</x:v>
      </x:c>
      <x:c r="P155" s="12" t="str">
        <x:v>After incoming damage is previewed, prevent 7 damage with the head slot. Then the next ally gains Guarded 2. Chosen ally gains Guarded 1 after this resolves.</x:v>
      </x:c>
      <x:c r="Q155" s="12" t="str"/>
      <x:c r="R155" s="12" t="str">
        <x:v>quirk: ally</x:v>
      </x:c>
      <x:c r="S155" s="12" t="str">
        <x:v>a1040f497920</x:v>
      </x:c>
      <x:c r="T155" s="12" t="n">
        <x:f>COUNTIF($S$2:$S$757,S155)</x:f>
        <x:v>1</x:v>
      </x:c>
      <x:c r="U155" s="12" t="str">
        <x:f>IF(T155=1,"OK","DUPLICATE")</x:f>
        <x:v>OK</x:v>
      </x:c>
    </x:row>
    <x:row r="156" ht="39.599998474121094" hidden="0" customHeight="1">
      <x:c r="A156" s="12" t="str">
        <x:v>Counterweighted Axe</x:v>
      </x:c>
      <x:c r="B156" s="12" t="str">
        <x:v>COUNTERWEIGHTED AXE</x:v>
      </x:c>
      <x:c r="C156" s="12" t="str">
        <x:v>weapon</x:v>
      </x:c>
      <x:c r="D156" s="12" t="str">
        <x:v>axe</x:v>
      </x:c>
      <x:c r="E156" s="12" t="str">
        <x:v>early</x:v>
      </x:c>
      <x:c r="F156" s="12" t="str">
        <x:v>uncommon</x:v>
      </x:c>
      <x:c r="G156" s="12" t="str">
        <x:v>Counterweighted Axe — Opening Strike</x:v>
      </x:c>
      <x:c r="H156" s="34" t="n">
        <x:v>1</x:v>
      </x:c>
      <x:c r="I156" s="34" t="str">
        <x:v>attack</x:v>
      </x:c>
      <x:c r="J156" s="34" t="n">
        <x:v>4</x:v>
      </x:c>
      <x:c r="K156" s="34" t="n">
        <x:v>2</x:v>
      </x:c>
      <x:c r="L156" s="34" t="str"/>
      <x:c r="M156" s="12" t="str">
        <x:v>Snared 1 | Target: Settlement</x:v>
      </x:c>
      <x:c r="N156" s="12" t="str">
        <x:v>Heavy, Brutal, Harvest, Attack</x:v>
      </x:c>
      <x:c r="O156" s="12" t="str">
        <x:v>Deal 4 damage. Apply Snared 1 if the target has a Settlement weak point, otherwise gain Marked 1.</x:v>
      </x:c>
      <x:c r="P156" s="12" t="str">
        <x:v>Deal 4 damage with Counterweighted Axe. Apply Snared 1 against a matching Settlement weak point; otherwise apply Marked 1. If this breaks a weak point, improve harvest quality by one step unless it is already Clean.</x:v>
      </x:c>
      <x:c r="Q156" s="12" t="str"/>
      <x:c r="R156" s="12" t="str">
        <x:v>quirk: harvest</x:v>
      </x:c>
      <x:c r="S156" s="12" t="str">
        <x:v>b5ecb25b1a2c</x:v>
      </x:c>
      <x:c r="T156" s="12" t="n">
        <x:f>COUNTIF($S$2:$S$757,S156)</x:f>
        <x:v>1</x:v>
      </x:c>
      <x:c r="U156" s="12" t="str">
        <x:f>IF(T156=1,"OK","DUPLICATE")</x:f>
        <x:v>OK</x:v>
      </x:c>
    </x:row>
    <x:row r="157" ht="39.599998474121094" hidden="0" customHeight="1">
      <x:c r="A157" s="12" t="str">
        <x:v>Counterweighted Axe</x:v>
      </x:c>
      <x:c r="B157" s="12" t="str">
        <x:v>COUNTERWEIGHTED AXE</x:v>
      </x:c>
      <x:c r="C157" s="12" t="str">
        <x:v>weapon</x:v>
      </x:c>
      <x:c r="D157" s="12" t="str">
        <x:v>axe</x:v>
      </x:c>
      <x:c r="E157" s="12" t="str">
        <x:v>early</x:v>
      </x:c>
      <x:c r="F157" s="12" t="str">
        <x:v>uncommon</x:v>
      </x:c>
      <x:c r="G157" s="12" t="str">
        <x:v>Counterweighted Axe — Technique</x:v>
      </x:c>
      <x:c r="H157" s="34" t="n">
        <x:v>1</x:v>
      </x:c>
      <x:c r="I157" s="34" t="str">
        <x:v>skill</x:v>
      </x:c>
      <x:c r="J157" s="34" t="str"/>
      <x:c r="K157" s="34" t="str"/>
      <x:c r="L157" s="34" t="n">
        <x:v>1</x:v>
      </x:c>
      <x:c r="M157" s="12" t="str">
        <x:v>Opens: True</x:v>
      </x:c>
      <x:c r="N157" s="12" t="str">
        <x:v>Heavy, Brutal, Harvest, Setup</x:v>
      </x:c>
      <x:c r="O157" s="12" t="str">
        <x:v>Commit to a heavy chop; +3 break damage but failed fragile harvests worsen by one step. Also gain 1 block.</x:v>
      </x:c>
      <x:c r="P157" s="12" t="str">
        <x:v>Commit to a heavy chop; +3 break damage but failed fragile harvests worsen by one step. Gain 1 block. If this breaks a weak point, improve harvest quality by one step unless it is already Clean.</x:v>
      </x:c>
      <x:c r="Q157" s="12" t="str"/>
      <x:c r="R157" s="12" t="str">
        <x:v>quirk: harvest</x:v>
      </x:c>
      <x:c r="S157" s="12" t="str">
        <x:v>b1fa5be42b92</x:v>
      </x:c>
      <x:c r="T157" s="12" t="n">
        <x:f>COUNTIF($S$2:$S$757,S157)</x:f>
        <x:v>1</x:v>
      </x:c>
      <x:c r="U157" s="12" t="str">
        <x:f>IF(T157=1,"OK","DUPLICATE")</x:f>
        <x:v>OK</x:v>
      </x:c>
    </x:row>
    <x:row r="158" ht="39.599998474121094" hidden="0" customHeight="1">
      <x:c r="A158" s="12" t="str">
        <x:v>Counterweighted Axe</x:v>
      </x:c>
      <x:c r="B158" s="12" t="str">
        <x:v>COUNTERWEIGHTED AXE</x:v>
      </x:c>
      <x:c r="C158" s="12" t="str">
        <x:v>weapon</x:v>
      </x:c>
      <x:c r="D158" s="12" t="str">
        <x:v>axe</x:v>
      </x:c>
      <x:c r="E158" s="12" t="str">
        <x:v>early</x:v>
      </x:c>
      <x:c r="F158" s="12" t="str">
        <x:v>uncommon</x:v>
      </x:c>
      <x:c r="G158" s="12" t="str">
        <x:v>Counterweighted Axe — Payoff</x:v>
      </x:c>
      <x:c r="H158" s="34" t="n">
        <x:v>3</x:v>
      </x:c>
      <x:c r="I158" s="34" t="str">
        <x:v>attack</x:v>
      </x:c>
      <x:c r="J158" s="34" t="n">
        <x:v>8</x:v>
      </x:c>
      <x:c r="K158" s="34" t="n">
        <x:v>3</x:v>
      </x:c>
      <x:c r="L158" s="34" t="str"/>
      <x:c r="M158" s="12" t="str">
        <x:v>Snared 1</x:v>
      </x:c>
      <x:c r="N158" s="12" t="str">
        <x:v>Heavy, Brutal, Harvest, Payoff, WeakPoint</x:v>
      </x:c>
      <x:c r="O158" s="12" t="str">
        <x:v>Deal 8 damage and 3 break damage. If this breaks a weak point, resolve Snared 1 and the harvest rider.</x:v>
      </x:c>
      <x:c r="P158" s="12" t="str">
        <x:v>Deal 8 damage and 3 break damage. If the weak point breaks, apply Snared 1 and resolve: If this breaks a weak point, improve harvest quality by one step unless it is already Clean.</x:v>
      </x:c>
      <x:c r="Q158" s="12" t="str"/>
      <x:c r="R158" s="12" t="str">
        <x:v>quirk: harvest | countsAsCounter False, firstCounterFree False</x:v>
      </x:c>
      <x:c r="S158" s="12" t="str">
        <x:v>45caddcc1366</x:v>
      </x:c>
      <x:c r="T158" s="12" t="n">
        <x:f>COUNTIF($S$2:$S$757,S158)</x:f>
        <x:v>1</x:v>
      </x:c>
      <x:c r="U158" s="12" t="str">
        <x:f>IF(T158=1,"OK","DUPLICATE")</x:f>
        <x:v>OK</x:v>
      </x:c>
    </x:row>
    <x:row r="159" ht="39.599998474121094" hidden="0" customHeight="1">
      <x:c r="A159" s="12" t="str">
        <x:v>Crest Crown</x:v>
      </x:c>
      <x:c r="B159" s="12" t="str">
        <x:v>CREST CROWN</x:v>
      </x:c>
      <x:c r="C159" s="12" t="str">
        <x:v>charm</x:v>
      </x:c>
      <x:c r="D159" s="12" t="str">
        <x:v>charm</x:v>
      </x:c>
      <x:c r="E159" s="12" t="str">
        <x:v>early</x:v>
      </x:c>
      <x:c r="F159" s="12" t="str">
        <x:v>common</x:v>
      </x:c>
      <x:c r="G159" s="12" t="str">
        <x:v>Crest Crown — Omen</x:v>
      </x:c>
      <x:c r="H159" s="34" t="n">
        <x:v>0</x:v>
      </x:c>
      <x:c r="I159" s="34" t="str">
        <x:v>skill</x:v>
      </x:c>
      <x:c r="J159" s="34" t="str"/>
      <x:c r="K159" s="34" t="str"/>
      <x:c r="L159" s="34" t="str"/>
      <x:c r="M159" s="12" t="str"/>
      <x:c r="N159" s="12" t="str">
        <x:v>Charm, Passive, Survival</x:v>
      </x:c>
      <x:c r="O159" s="12" t="str">
        <x:v>Peek at the next quarry card or weak-point reward. You may mark it; if you do, gain Panic 1.</x:v>
      </x:c>
      <x:c r="P159" s="12" t="str">
        <x:v>Peek at the next quarry AI, hit-location or weak-point reward, depending on screen. You may mark it. If marked, gain Panic 1. If this is the only card you play this turn, gain +2 block.</x:v>
      </x:c>
      <x:c r="Q159" s="12" t="str"/>
      <x:c r="R159" s="12" t="str">
        <x:v>quirk: stance</x:v>
      </x:c>
      <x:c r="S159" s="12" t="str">
        <x:v>2ada44193476</x:v>
      </x:c>
      <x:c r="T159" s="12" t="n">
        <x:f>COUNTIF($S$2:$S$757,S159)</x:f>
        <x:v>1</x:v>
      </x:c>
      <x:c r="U159" s="12" t="str">
        <x:f>IF(T159=1,"OK","DUPLICATE")</x:f>
        <x:v>OK</x:v>
      </x:c>
    </x:row>
    <x:row r="160" ht="39.599998474121094" hidden="0" customHeight="1">
      <x:c r="A160" s="12" t="str">
        <x:v>Crest Crown</x:v>
      </x:c>
      <x:c r="B160" s="12" t="str">
        <x:v>CREST CROWN</x:v>
      </x:c>
      <x:c r="C160" s="12" t="str">
        <x:v>charm</x:v>
      </x:c>
      <x:c r="D160" s="12" t="str">
        <x:v>charm</x:v>
      </x:c>
      <x:c r="E160" s="12" t="str">
        <x:v>early</x:v>
      </x:c>
      <x:c r="F160" s="12" t="str">
        <x:v>common</x:v>
      </x:c>
      <x:c r="G160" s="12" t="str">
        <x:v>Crest Crown — Glimmer</x:v>
      </x:c>
      <x:c r="H160" s="34" t="n">
        <x:v>0</x:v>
      </x:c>
      <x:c r="I160" s="34" t="str">
        <x:v>reaction</x:v>
      </x:c>
      <x:c r="J160" s="34" t="str"/>
      <x:c r="K160" s="34" t="str"/>
      <x:c r="L160" s="34" t="str"/>
      <x:c r="M160" s="12" t="str"/>
      <x:c r="N160" s="12" t="str">
        <x:v>Charm, Passive, Survival</x:v>
      </x:c>
      <x:c r="O160" s="12" t="str">
        <x:v>When Doom or a hunt consequence would affect you, reduce it by 2; exhaust this charm.</x:v>
      </x:c>
      <x:c r="P160" s="12" t="str">
        <x:v>When Doom, Panic, or a hunt consequence would affect this survivor, reduce it by 2; exhaust this charm until the next settlement phase. If this is the only card you play this turn, gain +2 block.</x:v>
      </x:c>
      <x:c r="Q160" s="12" t="str"/>
      <x:c r="R160" s="12" t="str">
        <x:v>quirk: stance</x:v>
      </x:c>
      <x:c r="S160" s="12" t="str">
        <x:v>34a0173f69ff</x:v>
      </x:c>
      <x:c r="T160" s="12" t="n">
        <x:f>COUNTIF($S$2:$S$757,S160)</x:f>
        <x:v>1</x:v>
      </x:c>
      <x:c r="U160" s="12" t="str">
        <x:f>IF(T160=1,"OK","DUPLICATE")</x:f>
        <x:v>OK</x:v>
      </x:c>
    </x:row>
    <x:row r="161" ht="39.599998474121094" hidden="0" customHeight="1">
      <x:c r="A161" s="12" t="str">
        <x:v>Crimson Rose</x:v>
      </x:c>
      <x:c r="B161" s="12" t="str">
        <x:v>CRIMSON ROSE</x:v>
      </x:c>
      <x:c r="C161" s="12" t="str">
        <x:v>tool</x:v>
      </x:c>
      <x:c r="D161" s="12" t="str">
        <x:v>tool</x:v>
      </x:c>
      <x:c r="E161" s="12" t="str">
        <x:v>mid</x:v>
      </x:c>
      <x:c r="F161" s="12" t="str">
        <x:v>uncommon</x:v>
      </x:c>
      <x:c r="G161" s="12" t="str">
        <x:v>Crimson Rose — Use</x:v>
      </x:c>
      <x:c r="H161" s="34" t="n">
        <x:v>1</x:v>
      </x:c>
      <x:c r="I161" s="34" t="str">
        <x:v>skill</x:v>
      </x:c>
      <x:c r="J161" s="34" t="str"/>
      <x:c r="K161" s="34" t="str"/>
      <x:c r="L161" s="34" t="str"/>
      <x:c r="M161" s="12" t="str">
        <x:v>Blind 3</x:v>
      </x:c>
      <x:c r="N161" s="12" t="str">
        <x:v>Tool, Harvest, Retreat</x:v>
      </x:c>
      <x:c r="O161" s="12" t="str">
        <x:v>Gain +4 to the next harvest, retreat, or weak-point test. If it fails, apply Blind 3 to the quarry or clear it from a survivor.</x:v>
      </x:c>
      <x:c r="P161" s="12" t="str">
        <x:v>Gain +4 to the next harvest, retreat, or weak-point test linked to Blood Crafter. On failure, either apply Blind 3 to the quarry or clear that status from a survivor. The quarry targets this survivor next unless another card redirects it.</x:v>
      </x:c>
      <x:c r="Q161" s="12" t="str"/>
      <x:c r="R161" s="12" t="str">
        <x:v>quirk: bait</x:v>
      </x:c>
      <x:c r="S161" s="12" t="str">
        <x:v>1cc649603862</x:v>
      </x:c>
      <x:c r="T161" s="12" t="n">
        <x:f>COUNTIF($S$2:$S$757,S161)</x:f>
        <x:v>1</x:v>
      </x:c>
      <x:c r="U161" s="12" t="str">
        <x:f>IF(T161=1,"OK","DUPLICATE")</x:f>
        <x:v>OK</x:v>
      </x:c>
    </x:row>
    <x:row r="162" ht="39.599998474121094" hidden="0" customHeight="1">
      <x:c r="A162" s="12" t="str">
        <x:v>Crimson Rose</x:v>
      </x:c>
      <x:c r="B162" s="12" t="str">
        <x:v>CRIMSON ROSE</x:v>
      </x:c>
      <x:c r="C162" s="12" t="str">
        <x:v>tool</x:v>
      </x:c>
      <x:c r="D162" s="12" t="str">
        <x:v>tool</x:v>
      </x:c>
      <x:c r="E162" s="12" t="str">
        <x:v>mid</x:v>
      </x:c>
      <x:c r="F162" s="12" t="str">
        <x:v>uncommon</x:v>
      </x:c>
      <x:c r="G162" s="12" t="str">
        <x:v>Crimson Rose — Contingency</x:v>
      </x:c>
      <x:c r="H162" s="34" t="n">
        <x:v>1</x:v>
      </x:c>
      <x:c r="I162" s="34" t="str">
        <x:v>reaction</x:v>
      </x:c>
      <x:c r="J162" s="34" t="str"/>
      <x:c r="K162" s="34" t="str"/>
      <x:c r="L162" s="34" t="str"/>
      <x:c r="M162" s="12" t="str"/>
      <x:c r="N162" s="12" t="str">
        <x:v>Tool, Harvest, Retreat</x:v>
      </x:c>
      <x:c r="O162" s="12" t="str">
        <x:v>When a hunt or monster consequence is previewed, reduce it by 5; on retreat, preserve 1 gathered resource.</x:v>
      </x:c>
      <x:c r="P162" s="12" t="str">
        <x:v>When a hunt event, retreat roll, or monster consequence is previewed, reduce the penalty by 5. If retreating, preserve 1 gathered resource. The quarry targets this survivor next unless another card redirects it.</x:v>
      </x:c>
      <x:c r="Q162" s="12" t="str"/>
      <x:c r="R162" s="12" t="str">
        <x:v>quirk: bait</x:v>
      </x:c>
      <x:c r="S162" s="12" t="str">
        <x:v>4c6e19d37655</x:v>
      </x:c>
      <x:c r="T162" s="12" t="n">
        <x:f>COUNTIF($S$2:$S$757,S162)</x:f>
        <x:v>1</x:v>
      </x:c>
      <x:c r="U162" s="12" t="str">
        <x:f>IF(T162=1,"OK","DUPLICATE")</x:f>
        <x:v>OK</x:v>
      </x:c>
    </x:row>
    <x:row r="163" ht="39.599998474121094" hidden="0" customHeight="1">
      <x:c r="A163" s="12" t="str">
        <x:v>Cycloid Scale Armor Set</x:v>
      </x:c>
      <x:c r="B163" s="12" t="str">
        <x:v>CYCLOID SCALE ARMOR SET</x:v>
      </x:c>
      <x:c r="C163" s="12" t="str">
        <x:v>set</x:v>
      </x:c>
      <x:c r="D163" s="12" t="str">
        <x:v>armor</x:v>
      </x:c>
      <x:c r="E163" s="12" t="str">
        <x:v>mid</x:v>
      </x:c>
      <x:c r="F163" s="12" t="str">
        <x:v>uncommon</x:v>
      </x:c>
      <x:c r="G163" s="12" t="str">
        <x:v>Cycloid Scale Armor Set — Brace</x:v>
      </x:c>
      <x:c r="H163" s="34" t="n">
        <x:v>1</x:v>
      </x:c>
      <x:c r="I163" s="34" t="str">
        <x:v>skill</x:v>
      </x:c>
      <x:c r="J163" s="34" t="str"/>
      <x:c r="K163" s="34" t="str"/>
      <x:c r="L163" s="34" t="n">
        <x:v>4</x:v>
      </x:c>
      <x:c r="M163" s="12" t="str"/>
      <x:c r="N163" s="12" t="str">
        <x:v>Defensive, Party, WoundCare</x:v>
      </x:c>
      <x:c r="O163" s="12" t="str">
        <x:v>Gain 4 block and Guarded 1. If hit before your next turn, reduce Stagger or Panic by 1.</x:v>
      </x:c>
      <x:c r="P163" s="12" t="str">
        <x:v>Gain 4 block and Guarded 1. If the next monster hit lands before your next turn, reduce Stagger or Panic by 1 after damage. On a failed harvest, keep one common fallback material.</x:v>
      </x:c>
      <x:c r="Q163" s="12" t="str"/>
      <x:c r="R163" s="12" t="str">
        <x:v>quirk: salvage</x:v>
      </x:c>
      <x:c r="S163" s="12" t="str">
        <x:v>584e5e707bc8</x:v>
      </x:c>
      <x:c r="T163" s="12" t="n">
        <x:f>COUNTIF($S$2:$S$757,S163)</x:f>
        <x:v>1</x:v>
      </x:c>
      <x:c r="U163" s="12" t="str">
        <x:f>IF(T163=1,"OK","DUPLICATE")</x:f>
        <x:v>OK</x:v>
      </x:c>
    </x:row>
    <x:row r="164" ht="26.399999618530273" hidden="0" customHeight="1">
      <x:c r="A164" s="12" t="str">
        <x:v>Cycloid Scale Armor Set</x:v>
      </x:c>
      <x:c r="B164" s="12" t="str">
        <x:v>CYCLOID SCALE ARMOR SET</x:v>
      </x:c>
      <x:c r="C164" s="12" t="str">
        <x:v>set</x:v>
      </x:c>
      <x:c r="D164" s="12" t="str">
        <x:v>armor</x:v>
      </x:c>
      <x:c r="E164" s="12" t="str">
        <x:v>mid</x:v>
      </x:c>
      <x:c r="F164" s="12" t="str">
        <x:v>uncommon</x:v>
      </x:c>
      <x:c r="G164" s="12" t="str">
        <x:v>Cycloid Scale Armor Set — Setline</x:v>
      </x:c>
      <x:c r="H164" s="34" t="n">
        <x:v>2</x:v>
      </x:c>
      <x:c r="I164" s="34" t="str">
        <x:v>reaction</x:v>
      </x:c>
      <x:c r="J164" s="34" t="str"/>
      <x:c r="K164" s="34" t="str"/>
      <x:c r="L164" s="34" t="n">
        <x:v>5</x:v>
      </x:c>
      <x:c r="M164" s="12" t="str"/>
      <x:c r="N164" s="12" t="str">
        <x:v>Defensive, Party, WoundCare, Reaction</x:v>
      </x:c>
      <x:c r="O164" s="12" t="str">
        <x:v>After damage is previewed, prevent 5 damage. Then give the next ally Guarded 2.</x:v>
      </x:c>
      <x:c r="P164" s="12" t="str">
        <x:v>After incoming damage is previewed, prevent 5 damage with the set slot. Then the next ally gains Guarded 2. On a failed harvest, keep one common fallback material.</x:v>
      </x:c>
      <x:c r="Q164" s="12" t="str"/>
      <x:c r="R164" s="12" t="str">
        <x:v>quirk: salvage</x:v>
      </x:c>
      <x:c r="S164" s="12" t="str">
        <x:v>288f51ed5ae0</x:v>
      </x:c>
      <x:c r="T164" s="12" t="n">
        <x:f>COUNTIF($S$2:$S$757,S164)</x:f>
        <x:v>1</x:v>
      </x:c>
      <x:c r="U164" s="12" t="str">
        <x:f>IF(T164=1,"OK","DUPLICATE")</x:f>
        <x:v>OK</x:v>
      </x:c>
    </x:row>
    <x:row r="165" ht="39.599998474121094" hidden="0" customHeight="1">
      <x:c r="A165" s="12" t="str">
        <x:v>Cycloid Scale Hood</x:v>
      </x:c>
      <x:c r="B165" s="12" t="str">
        <x:v>CYCLOID SCALE HOOD</x:v>
      </x:c>
      <x:c r="C165" s="12" t="str">
        <x:v>head</x:v>
      </x:c>
      <x:c r="D165" s="12" t="str">
        <x:v>armor</x:v>
      </x:c>
      <x:c r="E165" s="12" t="str">
        <x:v>mid</x:v>
      </x:c>
      <x:c r="F165" s="12" t="str">
        <x:v>uncommon</x:v>
      </x:c>
      <x:c r="G165" s="12" t="str">
        <x:v>Cycloid Scale Hood — Brace</x:v>
      </x:c>
      <x:c r="H165" s="34" t="n">
        <x:v>1</x:v>
      </x:c>
      <x:c r="I165" s="34" t="str">
        <x:v>skill</x:v>
      </x:c>
      <x:c r="J165" s="34" t="str"/>
      <x:c r="K165" s="34" t="str"/>
      <x:c r="L165" s="34" t="n">
        <x:v>5</x:v>
      </x:c>
      <x:c r="M165" s="12" t="str"/>
      <x:c r="N165" s="12" t="str">
        <x:v>Defensive, Party, WoundCare</x:v>
      </x:c>
      <x:c r="O165" s="12" t="str">
        <x:v>Gain 5 block and Guarded 2. If hit before your next turn, reduce Exposed or Panic by 1.</x:v>
      </x:c>
      <x:c r="P165" s="12" t="str">
        <x:v>Gain 5 block and Guarded 2. If the next monster hit lands before your next turn, reduce Exposed or Panic by 1 after damage. If this is the only card you play this turn, gain +2 block.</x:v>
      </x:c>
      <x:c r="Q165" s="12" t="str"/>
      <x:c r="R165" s="12" t="str">
        <x:v>quirk: stance</x:v>
      </x:c>
      <x:c r="S165" s="12" t="str">
        <x:v>b1dd25148025</x:v>
      </x:c>
      <x:c r="T165" s="12" t="n">
        <x:f>COUNTIF($S$2:$S$757,S165)</x:f>
        <x:v>1</x:v>
      </x:c>
      <x:c r="U165" s="12" t="str">
        <x:f>IF(T165=1,"OK","DUPLICATE")</x:f>
        <x:v>OK</x:v>
      </x:c>
    </x:row>
    <x:row r="166" ht="39.599998474121094" hidden="0" customHeight="1">
      <x:c r="A166" s="12" t="str">
        <x:v>Cycloid Scale Hood</x:v>
      </x:c>
      <x:c r="B166" s="12" t="str">
        <x:v>CYCLOID SCALE HOOD</x:v>
      </x:c>
      <x:c r="C166" s="12" t="str">
        <x:v>head</x:v>
      </x:c>
      <x:c r="D166" s="12" t="str">
        <x:v>armor</x:v>
      </x:c>
      <x:c r="E166" s="12" t="str">
        <x:v>mid</x:v>
      </x:c>
      <x:c r="F166" s="12" t="str">
        <x:v>uncommon</x:v>
      </x:c>
      <x:c r="G166" s="12" t="str">
        <x:v>Cycloid Scale Hood — Fitted Plate</x:v>
      </x:c>
      <x:c r="H166" s="34" t="n">
        <x:v>1</x:v>
      </x:c>
      <x:c r="I166" s="34" t="str">
        <x:v>reaction</x:v>
      </x:c>
      <x:c r="J166" s="34" t="str"/>
      <x:c r="K166" s="34" t="str"/>
      <x:c r="L166" s="34" t="n">
        <x:v>7</x:v>
      </x:c>
      <x:c r="M166" s="12" t="str"/>
      <x:c r="N166" s="12" t="str">
        <x:v>Defensive, Party, WoundCare, Reaction</x:v>
      </x:c>
      <x:c r="O166" s="12" t="str">
        <x:v>After damage is previewed, prevent 7 damage. Then give the next ally Guarded 2.</x:v>
      </x:c>
      <x:c r="P166" s="12" t="str">
        <x:v>After incoming damage is previewed, prevent 7 damage with the head slot. Then the next ally gains Guarded 2. If this is the only card you play this turn, gain +2 block.</x:v>
      </x:c>
      <x:c r="Q166" s="12" t="str"/>
      <x:c r="R166" s="12" t="str">
        <x:v>quirk: stance</x:v>
      </x:c>
      <x:c r="S166" s="12" t="str">
        <x:v>4ec6035bd91c</x:v>
      </x:c>
      <x:c r="T166" s="12" t="n">
        <x:f>COUNTIF($S$2:$S$757,S166)</x:f>
        <x:v>1</x:v>
      </x:c>
      <x:c r="U166" s="12" t="str">
        <x:f>IF(T166=1,"OK","DUPLICATE")</x:f>
        <x:v>OK</x:v>
      </x:c>
    </x:row>
    <x:row r="167" ht="39.599998474121094" hidden="0" customHeight="1">
      <x:c r="A167" s="12" t="str">
        <x:v>Cycloid Scale Jacket</x:v>
      </x:c>
      <x:c r="B167" s="12" t="str">
        <x:v>CYCLOID SCALE JACKET</x:v>
      </x:c>
      <x:c r="C167" s="12" t="str">
        <x:v>body</x:v>
      </x:c>
      <x:c r="D167" s="12" t="str">
        <x:v>armor</x:v>
      </x:c>
      <x:c r="E167" s="12" t="str">
        <x:v>mid</x:v>
      </x:c>
      <x:c r="F167" s="12" t="str">
        <x:v>uncommon</x:v>
      </x:c>
      <x:c r="G167" s="12" t="str">
        <x:v>Cycloid Scale Jacket — Brace</x:v>
      </x:c>
      <x:c r="H167" s="34" t="n">
        <x:v>1</x:v>
      </x:c>
      <x:c r="I167" s="34" t="str">
        <x:v>skill</x:v>
      </x:c>
      <x:c r="J167" s="34" t="str"/>
      <x:c r="K167" s="34" t="str"/>
      <x:c r="L167" s="34" t="n">
        <x:v>6</x:v>
      </x:c>
      <x:c r="M167" s="12" t="str"/>
      <x:c r="N167" s="12" t="str">
        <x:v>Defensive, Party, WoundCare</x:v>
      </x:c>
      <x:c r="O167" s="12" t="str">
        <x:v>Gain 6 block and Guarded 3. If hit before your next turn, reduce Marked or Panic by 1.</x:v>
      </x:c>
      <x:c r="P167" s="12" t="str">
        <x:v>Gain 6 block and Guarded 3. If the next monster hit lands before your next turn, reduce Marked or Panic by 1 after damage. If played after blocking, your next Counter gains +2 damage.</x:v>
      </x:c>
      <x:c r="Q167" s="12" t="str"/>
      <x:c r="R167" s="12" t="str">
        <x:v>quirk: counterReady</x:v>
      </x:c>
      <x:c r="S167" s="12" t="str">
        <x:v>c27e81e60e13</x:v>
      </x:c>
      <x:c r="T167" s="12" t="n">
        <x:f>COUNTIF($S$2:$S$757,S167)</x:f>
        <x:v>1</x:v>
      </x:c>
      <x:c r="U167" s="12" t="str">
        <x:f>IF(T167=1,"OK","DUPLICATE")</x:f>
        <x:v>OK</x:v>
      </x:c>
    </x:row>
    <x:row r="168" ht="39.599998474121094" hidden="0" customHeight="1">
      <x:c r="A168" s="12" t="str">
        <x:v>Cycloid Scale Jacket</x:v>
      </x:c>
      <x:c r="B168" s="12" t="str">
        <x:v>CYCLOID SCALE JACKET</x:v>
      </x:c>
      <x:c r="C168" s="12" t="str">
        <x:v>body</x:v>
      </x:c>
      <x:c r="D168" s="12" t="str">
        <x:v>armor</x:v>
      </x:c>
      <x:c r="E168" s="12" t="str">
        <x:v>mid</x:v>
      </x:c>
      <x:c r="F168" s="12" t="str">
        <x:v>uncommon</x:v>
      </x:c>
      <x:c r="G168" s="12" t="str">
        <x:v>Cycloid Scale Jacket — Fitted Plate</x:v>
      </x:c>
      <x:c r="H168" s="34" t="n">
        <x:v>2</x:v>
      </x:c>
      <x:c r="I168" s="34" t="str">
        <x:v>reaction</x:v>
      </x:c>
      <x:c r="J168" s="34" t="str"/>
      <x:c r="K168" s="34" t="str"/>
      <x:c r="L168" s="34" t="n">
        <x:v>9</x:v>
      </x:c>
      <x:c r="M168" s="12" t="str"/>
      <x:c r="N168" s="12" t="str">
        <x:v>Defensive, Party, WoundCare, Reaction</x:v>
      </x:c>
      <x:c r="O168" s="12" t="str">
        <x:v>After damage is previewed, prevent 9 damage. Then give the next ally Guarded 2.</x:v>
      </x:c>
      <x:c r="P168" s="12" t="str">
        <x:v>After incoming damage is previewed, prevent 9 damage with the body slot. Then the next ally gains Guarded 2. If played after blocking, your next Counter gains +2 damage.</x:v>
      </x:c>
      <x:c r="Q168" s="12" t="str"/>
      <x:c r="R168" s="12" t="str">
        <x:v>quirk: counterReady</x:v>
      </x:c>
      <x:c r="S168" s="12" t="str">
        <x:v>75e7cf5368f8</x:v>
      </x:c>
      <x:c r="T168" s="12" t="n">
        <x:f>COUNTIF($S$2:$S$757,S168)</x:f>
        <x:v>1</x:v>
      </x:c>
      <x:c r="U168" s="12" t="str">
        <x:f>IF(T168=1,"OK","DUPLICATE")</x:f>
        <x:v>OK</x:v>
      </x:c>
    </x:row>
    <x:row r="169" ht="39.599998474121094" hidden="0" customHeight="1">
      <x:c r="A169" s="12" t="str">
        <x:v>Cycloid Scale Shoes</x:v>
      </x:c>
      <x:c r="B169" s="12" t="str">
        <x:v>CYCLOID SCALE SHOES</x:v>
      </x:c>
      <x:c r="C169" s="12" t="str">
        <x:v>legs</x:v>
      </x:c>
      <x:c r="D169" s="12" t="str">
        <x:v>armor</x:v>
      </x:c>
      <x:c r="E169" s="12" t="str">
        <x:v>mid</x:v>
      </x:c>
      <x:c r="F169" s="12" t="str">
        <x:v>uncommon</x:v>
      </x:c>
      <x:c r="G169" s="12" t="str">
        <x:v>Cycloid Scale Shoes — Brace</x:v>
      </x:c>
      <x:c r="H169" s="34" t="n">
        <x:v>1</x:v>
      </x:c>
      <x:c r="I169" s="34" t="str">
        <x:v>skill</x:v>
      </x:c>
      <x:c r="J169" s="34" t="str"/>
      <x:c r="K169" s="34" t="str"/>
      <x:c r="L169" s="34" t="n">
        <x:v>3</x:v>
      </x:c>
      <x:c r="M169" s="12" t="str"/>
      <x:c r="N169" s="12" t="str">
        <x:v>Defensive, Party, WoundCare</x:v>
      </x:c>
      <x:c r="O169" s="12" t="str">
        <x:v>Gain 3 block and Guarded 1. If hit before your next turn, reduce Bleed or Panic by 1.</x:v>
      </x:c>
      <x:c r="P169" s="12" t="str">
        <x:v>Gain 3 block and Guarded 1. If the next monster hit lands before your next turn, reduce Bleed or Panic by 1 after damage. If you play a third attack this round, gain Panic 1.</x:v>
      </x:c>
      <x:c r="Q169" s="12" t="str"/>
      <x:c r="R169" s="12" t="str">
        <x:v>quirk: frenzyCheck</x:v>
      </x:c>
      <x:c r="S169" s="12" t="str">
        <x:v>1219fd4eaf0f</x:v>
      </x:c>
      <x:c r="T169" s="12" t="n">
        <x:f>COUNTIF($S$2:$S$757,S169)</x:f>
        <x:v>1</x:v>
      </x:c>
      <x:c r="U169" s="12" t="str">
        <x:f>IF(T169=1,"OK","DUPLICATE")</x:f>
        <x:v>OK</x:v>
      </x:c>
    </x:row>
    <x:row r="170" ht="26.399999618530273" hidden="0" customHeight="1">
      <x:c r="A170" s="12" t="str">
        <x:v>Cycloid Scale Shoes</x:v>
      </x:c>
      <x:c r="B170" s="12" t="str">
        <x:v>CYCLOID SCALE SHOES</x:v>
      </x:c>
      <x:c r="C170" s="12" t="str">
        <x:v>legs</x:v>
      </x:c>
      <x:c r="D170" s="12" t="str">
        <x:v>armor</x:v>
      </x:c>
      <x:c r="E170" s="12" t="str">
        <x:v>mid</x:v>
      </x:c>
      <x:c r="F170" s="12" t="str">
        <x:v>uncommon</x:v>
      </x:c>
      <x:c r="G170" s="12" t="str">
        <x:v>Cycloid Scale Shoes — Fitted Plate</x:v>
      </x:c>
      <x:c r="H170" s="34" t="n">
        <x:v>1</x:v>
      </x:c>
      <x:c r="I170" s="34" t="str">
        <x:v>reaction</x:v>
      </x:c>
      <x:c r="J170" s="34" t="str"/>
      <x:c r="K170" s="34" t="str"/>
      <x:c r="L170" s="34" t="n">
        <x:v>4</x:v>
      </x:c>
      <x:c r="M170" s="12" t="str"/>
      <x:c r="N170" s="12" t="str">
        <x:v>Defensive, Party, WoundCare, Reaction</x:v>
      </x:c>
      <x:c r="O170" s="12" t="str">
        <x:v>After damage is previewed, prevent 4 damage. Then give the next ally Guarded 2.</x:v>
      </x:c>
      <x:c r="P170" s="12" t="str">
        <x:v>After incoming damage is previewed, prevent 4 damage with the legs slot. Then the next ally gains Guarded 2. If you play a third attack this round, gain Panic 1.</x:v>
      </x:c>
      <x:c r="Q170" s="12" t="str"/>
      <x:c r="R170" s="12" t="str">
        <x:v>quirk: frenzyCheck</x:v>
      </x:c>
      <x:c r="S170" s="12" t="str">
        <x:v>a7b4b40e6147</x:v>
      </x:c>
      <x:c r="T170" s="12" t="n">
        <x:f>COUNTIF($S$2:$S$757,S170)</x:f>
        <x:v>1</x:v>
      </x:c>
      <x:c r="U170" s="12" t="str">
        <x:f>IF(T170=1,"OK","DUPLICATE")</x:f>
        <x:v>OK</x:v>
      </x:c>
    </x:row>
    <x:row r="171" ht="39.599998474121094" hidden="0" customHeight="1">
      <x:c r="A171" s="12" t="str">
        <x:v>Cycloid Scale Skirt</x:v>
      </x:c>
      <x:c r="B171" s="12" t="str">
        <x:v>CYCLOID SCALE SKIRT</x:v>
      </x:c>
      <x:c r="C171" s="12" t="str">
        <x:v>waist</x:v>
      </x:c>
      <x:c r="D171" s="12" t="str">
        <x:v>armor</x:v>
      </x:c>
      <x:c r="E171" s="12" t="str">
        <x:v>mid</x:v>
      </x:c>
      <x:c r="F171" s="12" t="str">
        <x:v>uncommon</x:v>
      </x:c>
      <x:c r="G171" s="12" t="str">
        <x:v>Cycloid Scale Skirt — Brace</x:v>
      </x:c>
      <x:c r="H171" s="34" t="n">
        <x:v>1</x:v>
      </x:c>
      <x:c r="I171" s="34" t="str">
        <x:v>skill</x:v>
      </x:c>
      <x:c r="J171" s="34" t="str"/>
      <x:c r="K171" s="34" t="str"/>
      <x:c r="L171" s="34" t="n">
        <x:v>4</x:v>
      </x:c>
      <x:c r="M171" s="12" t="str"/>
      <x:c r="N171" s="12" t="str">
        <x:v>Defensive, Party, WoundCare</x:v>
      </x:c>
      <x:c r="O171" s="12" t="str">
        <x:v>Gain 4 block and Guarded 2. If hit before your next turn, reduce Burn or Panic by 1.</x:v>
      </x:c>
      <x:c r="P171" s="12" t="str">
        <x:v>Gain 4 block and Guarded 2. If the next monster hit lands before your next turn, reduce Burn or Panic by 1 after damage. If you deal no HP damage, gain +2 break damage.</x:v>
      </x:c>
      <x:c r="Q171" s="12" t="str"/>
      <x:c r="R171" s="12" t="str">
        <x:v>quirk: careful</x:v>
      </x:c>
      <x:c r="S171" s="12" t="str">
        <x:v>507c9e788911</x:v>
      </x:c>
      <x:c r="T171" s="12" t="n">
        <x:f>COUNTIF($S$2:$S$757,S171)</x:f>
        <x:v>1</x:v>
      </x:c>
      <x:c r="U171" s="12" t="str">
        <x:f>IF(T171=1,"OK","DUPLICATE")</x:f>
        <x:v>OK</x:v>
      </x:c>
    </x:row>
    <x:row r="172" ht="26.399999618530273" hidden="0" customHeight="1">
      <x:c r="A172" s="12" t="str">
        <x:v>Cycloid Scale Skirt</x:v>
      </x:c>
      <x:c r="B172" s="12" t="str">
        <x:v>CYCLOID SCALE SKIRT</x:v>
      </x:c>
      <x:c r="C172" s="12" t="str">
        <x:v>waist</x:v>
      </x:c>
      <x:c r="D172" s="12" t="str">
        <x:v>armor</x:v>
      </x:c>
      <x:c r="E172" s="12" t="str">
        <x:v>mid</x:v>
      </x:c>
      <x:c r="F172" s="12" t="str">
        <x:v>uncommon</x:v>
      </x:c>
      <x:c r="G172" s="12" t="str">
        <x:v>Cycloid Scale Skirt — Fitted Plate</x:v>
      </x:c>
      <x:c r="H172" s="34" t="n">
        <x:v>2</x:v>
      </x:c>
      <x:c r="I172" s="34" t="str">
        <x:v>reaction</x:v>
      </x:c>
      <x:c r="J172" s="34" t="str"/>
      <x:c r="K172" s="34" t="str"/>
      <x:c r="L172" s="34" t="n">
        <x:v>6</x:v>
      </x:c>
      <x:c r="M172" s="12" t="str"/>
      <x:c r="N172" s="12" t="str">
        <x:v>Defensive, Party, WoundCare, Reaction</x:v>
      </x:c>
      <x:c r="O172" s="12" t="str">
        <x:v>After damage is previewed, prevent 6 damage. Then give the next ally Guarded 2.</x:v>
      </x:c>
      <x:c r="P172" s="12" t="str">
        <x:v>After incoming damage is previewed, prevent 6 damage with the waist slot. Then the next ally gains Guarded 2. If you deal no HP damage, gain +2 break damage.</x:v>
      </x:c>
      <x:c r="Q172" s="12" t="str"/>
      <x:c r="R172" s="12" t="str">
        <x:v>quirk: careful</x:v>
      </x:c>
      <x:c r="S172" s="12" t="str">
        <x:v>ff7be40ef812</x:v>
      </x:c>
      <x:c r="T172" s="12" t="n">
        <x:f>COUNTIF($S$2:$S$757,S172)</x:f>
        <x:v>1</x:v>
      </x:c>
      <x:c r="U172" s="12" t="str">
        <x:f>IF(T172=1,"OK","DUPLICATE")</x:f>
        <x:v>OK</x:v>
      </x:c>
    </x:row>
    <x:row r="173" ht="39.599998474121094" hidden="0" customHeight="1">
      <x:c r="A173" s="12" t="str">
        <x:v>Cycloid Scale Sleeves</x:v>
      </x:c>
      <x:c r="B173" s="12" t="str">
        <x:v>CYCLOID SCALE SLEEVES</x:v>
      </x:c>
      <x:c r="C173" s="12" t="str">
        <x:v>arms</x:v>
      </x:c>
      <x:c r="D173" s="12" t="str">
        <x:v>armor</x:v>
      </x:c>
      <x:c r="E173" s="12" t="str">
        <x:v>mid</x:v>
      </x:c>
      <x:c r="F173" s="12" t="str">
        <x:v>uncommon</x:v>
      </x:c>
      <x:c r="G173" s="12" t="str">
        <x:v>Cycloid Scale Sleeves — Brace</x:v>
      </x:c>
      <x:c r="H173" s="34" t="n">
        <x:v>1</x:v>
      </x:c>
      <x:c r="I173" s="34" t="str">
        <x:v>skill</x:v>
      </x:c>
      <x:c r="J173" s="34" t="str"/>
      <x:c r="K173" s="34" t="str"/>
      <x:c r="L173" s="34" t="n">
        <x:v>5</x:v>
      </x:c>
      <x:c r="M173" s="12" t="str"/>
      <x:c r="N173" s="12" t="str">
        <x:v>Defensive, Party, WoundCare</x:v>
      </x:c>
      <x:c r="O173" s="12" t="str">
        <x:v>Gain 5 block and Guarded 3. If hit before your next turn, reduce Poison or Panic by 1.</x:v>
      </x:c>
      <x:c r="P173" s="12" t="str">
        <x:v>Gain 5 block and Guarded 3. If the next monster hit lands before your next turn, reduce Poison or Panic by 1 after damage. The quarry targets this survivor next unless another card redirects it.</x:v>
      </x:c>
      <x:c r="Q173" s="12" t="str"/>
      <x:c r="R173" s="12" t="str">
        <x:v>quirk: bait</x:v>
      </x:c>
      <x:c r="S173" s="12" t="str">
        <x:v>5294690990ab</x:v>
      </x:c>
      <x:c r="T173" s="12" t="n">
        <x:f>COUNTIF($S$2:$S$757,S173)</x:f>
        <x:v>1</x:v>
      </x:c>
      <x:c r="U173" s="12" t="str">
        <x:f>IF(T173=1,"OK","DUPLICATE")</x:f>
        <x:v>OK</x:v>
      </x:c>
    </x:row>
    <x:row r="174" ht="39.599998474121094" hidden="0" customHeight="1">
      <x:c r="A174" s="12" t="str">
        <x:v>Cycloid Scale Sleeves</x:v>
      </x:c>
      <x:c r="B174" s="12" t="str">
        <x:v>CYCLOID SCALE SLEEVES</x:v>
      </x:c>
      <x:c r="C174" s="12" t="str">
        <x:v>arms</x:v>
      </x:c>
      <x:c r="D174" s="12" t="str">
        <x:v>armor</x:v>
      </x:c>
      <x:c r="E174" s="12" t="str">
        <x:v>mid</x:v>
      </x:c>
      <x:c r="F174" s="12" t="str">
        <x:v>uncommon</x:v>
      </x:c>
      <x:c r="G174" s="12" t="str">
        <x:v>Cycloid Scale Sleeves — Fitted Plate</x:v>
      </x:c>
      <x:c r="H174" s="34" t="n">
        <x:v>1</x:v>
      </x:c>
      <x:c r="I174" s="34" t="str">
        <x:v>reaction</x:v>
      </x:c>
      <x:c r="J174" s="34" t="str"/>
      <x:c r="K174" s="34" t="str"/>
      <x:c r="L174" s="34" t="n">
        <x:v>8</x:v>
      </x:c>
      <x:c r="M174" s="12" t="str"/>
      <x:c r="N174" s="12" t="str">
        <x:v>Defensive, Party, WoundCare, Reaction</x:v>
      </x:c>
      <x:c r="O174" s="12" t="str">
        <x:v>After damage is previewed, prevent 8 damage. Then give the next ally Guarded 2.</x:v>
      </x:c>
      <x:c r="P174" s="12" t="str">
        <x:v>After incoming damage is previewed, prevent 8 damage with the arms slot. Then the next ally gains Guarded 2. The quarry targets this survivor next unless another card redirects it.</x:v>
      </x:c>
      <x:c r="Q174" s="12" t="str"/>
      <x:c r="R174" s="12" t="str">
        <x:v>quirk: bait</x:v>
      </x:c>
      <x:c r="S174" s="12" t="str">
        <x:v>0b7c4d86e5e6</x:v>
      </x:c>
      <x:c r="T174" s="12" t="n">
        <x:f>COUNTIF($S$2:$S$757,S174)</x:f>
        <x:v>1</x:v>
      </x:c>
      <x:c r="U174" s="12" t="str">
        <x:f>IF(T174=1,"OK","DUPLICATE")</x:f>
        <x:v>OK</x:v>
      </x:c>
    </x:row>
    <x:row r="175" ht="39.599998474121094" hidden="0" customHeight="1">
      <x:c r="A175" s="12" t="str">
        <x:v>D.B.K. Errant Badge</x:v>
      </x:c>
      <x:c r="B175" s="12" t="str">
        <x:v>D.B.K. ERRANT BADGE</x:v>
      </x:c>
      <x:c r="C175" s="12" t="str">
        <x:v>charm</x:v>
      </x:c>
      <x:c r="D175" s="12" t="str">
        <x:v>charm</x:v>
      </x:c>
      <x:c r="E175" s="12" t="str">
        <x:v>mid</x:v>
      </x:c>
      <x:c r="F175" s="12" t="str">
        <x:v>uncommon</x:v>
      </x:c>
      <x:c r="G175" s="12" t="str">
        <x:v>D.B.K. Errant Badge — Omen</x:v>
      </x:c>
      <x:c r="H175" s="34" t="n">
        <x:v>0</x:v>
      </x:c>
      <x:c r="I175" s="34" t="str">
        <x:v>skill</x:v>
      </x:c>
      <x:c r="J175" s="34" t="str"/>
      <x:c r="K175" s="34" t="str"/>
      <x:c r="L175" s="34" t="str"/>
      <x:c r="M175" s="12" t="str"/>
      <x:c r="N175" s="12" t="str">
        <x:v>Charm, Passive, Survival</x:v>
      </x:c>
      <x:c r="O175" s="12" t="str">
        <x:v>Peek at the next quarry card or weak-point reward. You may mark it; if you do, gain Panic 1.</x:v>
      </x:c>
      <x:c r="P175" s="12" t="str">
        <x:v>Peek at the next quarry AI, hit-location or weak-point reward, depending on screen. You may mark it. If marked, gain Panic 1. If you already played an attack this turn, add +1 damage or +1 block.</x:v>
      </x:c>
      <x:c r="Q175" s="12" t="str"/>
      <x:c r="R175" s="12" t="str">
        <x:v>quirk: followUp</x:v>
      </x:c>
      <x:c r="S175" s="12" t="str">
        <x:v>569eb6365435</x:v>
      </x:c>
      <x:c r="T175" s="12" t="n">
        <x:f>COUNTIF($S$2:$S$757,S175)</x:f>
        <x:v>1</x:v>
      </x:c>
      <x:c r="U175" s="12" t="str">
        <x:f>IF(T175=1,"OK","DUPLICATE")</x:f>
        <x:v>OK</x:v>
      </x:c>
    </x:row>
    <x:row r="176" ht="39.599998474121094" hidden="0" customHeight="1">
      <x:c r="A176" s="12" t="str">
        <x:v>D.B.K. Errant Badge</x:v>
      </x:c>
      <x:c r="B176" s="12" t="str">
        <x:v>D.B.K. ERRANT BADGE</x:v>
      </x:c>
      <x:c r="C176" s="12" t="str">
        <x:v>charm</x:v>
      </x:c>
      <x:c r="D176" s="12" t="str">
        <x:v>charm</x:v>
      </x:c>
      <x:c r="E176" s="12" t="str">
        <x:v>mid</x:v>
      </x:c>
      <x:c r="F176" s="12" t="str">
        <x:v>uncommon</x:v>
      </x:c>
      <x:c r="G176" s="12" t="str">
        <x:v>D.B.K. Errant Badge — Glimmer</x:v>
      </x:c>
      <x:c r="H176" s="34" t="n">
        <x:v>0</x:v>
      </x:c>
      <x:c r="I176" s="34" t="str">
        <x:v>reaction</x:v>
      </x:c>
      <x:c r="J176" s="34" t="str"/>
      <x:c r="K176" s="34" t="str"/>
      <x:c r="L176" s="34" t="str"/>
      <x:c r="M176" s="12" t="str"/>
      <x:c r="N176" s="12" t="str">
        <x:v>Charm, Passive, Survival</x:v>
      </x:c>
      <x:c r="O176" s="12" t="str">
        <x:v>When Shock or a hunt consequence would affect you, reduce it by 2; exhaust this charm.</x:v>
      </x:c>
      <x:c r="P176" s="12" t="str">
        <x:v>When Shock, Panic, or a hunt consequence would affect this survivor, reduce it by 2; exhaust this charm until the next settlement phase. If you already played an attack this turn, add +1 damage or +1 block.</x:v>
      </x:c>
      <x:c r="Q176" s="12" t="str"/>
      <x:c r="R176" s="12" t="str">
        <x:v>quirk: followUp</x:v>
      </x:c>
      <x:c r="S176" s="12" t="str">
        <x:v>2e8b78c9f33c</x:v>
      </x:c>
      <x:c r="T176" s="12" t="n">
        <x:f>COUNTIF($S$2:$S$757,S176)</x:f>
        <x:v>1</x:v>
      </x:c>
      <x:c r="U176" s="12" t="str">
        <x:f>IF(T176=1,"OK","DUPLICATE")</x:f>
        <x:v>OK</x:v>
      </x:c>
    </x:row>
    <x:row r="177" ht="39.599998474121094" hidden="0" customHeight="1">
      <x:c r="A177" s="12" t="str">
        <x:v>Dark Water Vial</x:v>
      </x:c>
      <x:c r="B177" s="12" t="str">
        <x:v>DARK WATER VIAL</x:v>
      </x:c>
      <x:c r="C177" s="12" t="str">
        <x:v>tool</x:v>
      </x:c>
      <x:c r="D177" s="12" t="str">
        <x:v>consumable</x:v>
      </x:c>
      <x:c r="E177" s="12" t="str">
        <x:v>mid</x:v>
      </x:c>
      <x:c r="F177" s="12" t="str">
        <x:v>uncommon</x:v>
      </x:c>
      <x:c r="G177" s="12" t="str">
        <x:v>Dark Water Vial — Use</x:v>
      </x:c>
      <x:c r="H177" s="34" t="n">
        <x:v>0</x:v>
      </x:c>
      <x:c r="I177" s="34" t="str">
        <x:v>skill</x:v>
      </x:c>
      <x:c r="J177" s="34" t="str"/>
      <x:c r="K177" s="34" t="str"/>
      <x:c r="L177" s="34" t="str"/>
      <x:c r="M177" s="12" t="str">
        <x:v>Shock 2</x:v>
      </x:c>
      <x:c r="N177" s="12" t="str">
        <x:v>Tool, Survival, Retreat</x:v>
      </x:c>
      <x:c r="O177" s="12" t="str">
        <x:v>Gain +3 to the next harvest, retreat, or weak-point test. If it fails, apply Shock 2 to the quarry or clear it from a survivor.</x:v>
      </x:c>
      <x:c r="P177" s="12" t="str">
        <x:v>Gain +3 to the next harvest, retreat, or weak-point test linked to Light Forging. On failure, either apply Shock 2 to the quarry or clear that status from a survivor. If you have any wound, add +1 damage but gain Panic 1.</x:v>
      </x:c>
      <x:c r="Q177" s="12" t="str"/>
      <x:c r="R177" s="12" t="str">
        <x:v>quirk: wounded</x:v>
      </x:c>
      <x:c r="S177" s="12" t="str">
        <x:v>58f45549bd34</x:v>
      </x:c>
      <x:c r="T177" s="12" t="n">
        <x:f>COUNTIF($S$2:$S$757,S177)</x:f>
        <x:v>1</x:v>
      </x:c>
      <x:c r="U177" s="12" t="str">
        <x:f>IF(T177=1,"OK","DUPLICATE")</x:f>
        <x:v>OK</x:v>
      </x:c>
    </x:row>
    <x:row r="178" ht="39.599998474121094" hidden="0" customHeight="1">
      <x:c r="A178" s="12" t="str">
        <x:v>Dark Water Vial</x:v>
      </x:c>
      <x:c r="B178" s="12" t="str">
        <x:v>DARK WATER VIAL</x:v>
      </x:c>
      <x:c r="C178" s="12" t="str">
        <x:v>tool</x:v>
      </x:c>
      <x:c r="D178" s="12" t="str">
        <x:v>consumable</x:v>
      </x:c>
      <x:c r="E178" s="12" t="str">
        <x:v>mid</x:v>
      </x:c>
      <x:c r="F178" s="12" t="str">
        <x:v>uncommon</x:v>
      </x:c>
      <x:c r="G178" s="12" t="str">
        <x:v>Dark Water Vial — Contingency</x:v>
      </x:c>
      <x:c r="H178" s="34" t="n">
        <x:v>1</x:v>
      </x:c>
      <x:c r="I178" s="34" t="str">
        <x:v>reaction</x:v>
      </x:c>
      <x:c r="J178" s="34" t="str"/>
      <x:c r="K178" s="34" t="str"/>
      <x:c r="L178" s="34" t="str"/>
      <x:c r="M178" s="12" t="str"/>
      <x:c r="N178" s="12" t="str">
        <x:v>Tool, Survival, Retreat</x:v>
      </x:c>
      <x:c r="O178" s="12" t="str">
        <x:v>When a hunt or monster consequence is previewed, reduce it by 3; on retreat, preserve 1 gathered resource.</x:v>
      </x:c>
      <x:c r="P178" s="12" t="str">
        <x:v>When a hunt event, retreat roll, or monster consequence is previewed, reduce the penalty by 3. If retreating, preserve 1 gathered resource. If you have any wound, add +1 damage but gain Panic 1.</x:v>
      </x:c>
      <x:c r="Q178" s="12" t="str"/>
      <x:c r="R178" s="12" t="str">
        <x:v>quirk: wounded</x:v>
      </x:c>
      <x:c r="S178" s="12" t="str">
        <x:v>f263fd305f98</x:v>
      </x:c>
      <x:c r="T178" s="12" t="n">
        <x:f>COUNTIF($S$2:$S$757,S178)</x:f>
        <x:v>1</x:v>
      </x:c>
      <x:c r="U178" s="12" t="str">
        <x:f>IF(T178=1,"OK","DUPLICATE")</x:f>
        <x:v>OK</x:v>
      </x:c>
    </x:row>
    <x:row r="179" ht="39.599998474121094" hidden="0" customHeight="1">
      <x:c r="A179" s="12" t="str">
        <x:v>Daydream Knife</x:v>
      </x:c>
      <x:c r="B179" s="12" t="str">
        <x:v>DAYDREAM DAGGER</x:v>
      </x:c>
      <x:c r="C179" s="12" t="str">
        <x:v>weapon</x:v>
      </x:c>
      <x:c r="D179" s="12" t="str">
        <x:v>dagger</x:v>
      </x:c>
      <x:c r="E179" s="12" t="str">
        <x:v>early</x:v>
      </x:c>
      <x:c r="F179" s="12" t="str">
        <x:v>uncommon</x:v>
      </x:c>
      <x:c r="G179" s="12" t="str">
        <x:v>Daydream Knife — Opening Cut</x:v>
      </x:c>
      <x:c r="H179" s="34" t="n">
        <x:v>0</x:v>
      </x:c>
      <x:c r="I179" s="34" t="str">
        <x:v>attack</x:v>
      </x:c>
      <x:c r="J179" s="34" t="n">
        <x:v>3</x:v>
      </x:c>
      <x:c r="K179" s="34" t="n">
        <x:v>2</x:v>
      </x:c>
      <x:c r="L179" s="34" t="str"/>
      <x:c r="M179" s="12" t="str">
        <x:v>Bleed 3 | Target: White Lion</x:v>
      </x:c>
      <x:c r="N179" s="12" t="str">
        <x:v>Quick, Precise, Harvest, Attack</x:v>
      </x:c>
      <x:c r="O179" s="12" t="str">
        <x:v>Deal 3 damage. Apply Bleed 3 if the target has a White Lion weak point, otherwise gain Marked 1.</x:v>
      </x:c>
      <x:c r="P179" s="12" t="str">
        <x:v>Deal 3 damage with Daydream Knife. Apply Bleed 3 against a matching White Lion weak point; otherwise apply Marked 1. The quarry targets this survivor next unless another card redirects it.</x:v>
      </x:c>
      <x:c r="Q179" s="12" t="str"/>
      <x:c r="R179" s="12" t="str">
        <x:v>quirk: bait</x:v>
      </x:c>
      <x:c r="S179" s="12" t="str">
        <x:v>52c5b0a13b45</x:v>
      </x:c>
      <x:c r="T179" s="12" t="n">
        <x:f>COUNTIF($S$2:$S$757,S179)</x:f>
        <x:v>1</x:v>
      </x:c>
      <x:c r="U179" s="12" t="str">
        <x:f>IF(T179=1,"OK","DUPLICATE")</x:f>
        <x:v>OK</x:v>
      </x:c>
    </x:row>
    <x:row r="180" ht="26.399999618530273" hidden="0" customHeight="1">
      <x:c r="A180" s="12" t="str">
        <x:v>Daydream Knife</x:v>
      </x:c>
      <x:c r="B180" s="12" t="str">
        <x:v>DAYDREAM DAGGER</x:v>
      </x:c>
      <x:c r="C180" s="12" t="str">
        <x:v>weapon</x:v>
      </x:c>
      <x:c r="D180" s="12" t="str">
        <x:v>dagger</x:v>
      </x:c>
      <x:c r="E180" s="12" t="str">
        <x:v>early</x:v>
      </x:c>
      <x:c r="F180" s="12" t="str">
        <x:v>uncommon</x:v>
      </x:c>
      <x:c r="G180" s="12" t="str">
        <x:v>Daydream Knife — Technique</x:v>
      </x:c>
      <x:c r="H180" s="34" t="n">
        <x:v>2</x:v>
      </x:c>
      <x:c r="I180" s="34" t="str">
        <x:v>skill</x:v>
      </x:c>
      <x:c r="J180" s="34" t="str"/>
      <x:c r="K180" s="34" t="str"/>
      <x:c r="L180" s="34" t="n">
        <x:v>3</x:v>
      </x:c>
      <x:c r="M180" s="12" t="str">
        <x:v>Opens: True</x:v>
      </x:c>
      <x:c r="N180" s="12" t="str">
        <x:v>Quick, Precise, Harvest, Setup</x:v>
      </x:c>
      <x:c r="O180" s="12" t="str">
        <x:v>Expose a fragile weak point; next knife attack gains +2 break damage. Also gain 3 block.</x:v>
      </x:c>
      <x:c r="P180" s="12" t="str">
        <x:v>Expose a fragile weak point; next knife attack gains +2 break damage. Gain 3 block. The quarry targets this survivor next unless another card redirects it.</x:v>
      </x:c>
      <x:c r="Q180" s="12" t="str"/>
      <x:c r="R180" s="12" t="str">
        <x:v>quirk: bait</x:v>
      </x:c>
      <x:c r="S180" s="12" t="str">
        <x:v>9e77e1fb5e29</x:v>
      </x:c>
      <x:c r="T180" s="12" t="n">
        <x:f>COUNTIF($S$2:$S$757,S180)</x:f>
        <x:v>1</x:v>
      </x:c>
      <x:c r="U180" s="12" t="str">
        <x:f>IF(T180=1,"OK","DUPLICATE")</x:f>
        <x:v>OK</x:v>
      </x:c>
    </x:row>
    <x:row r="181" ht="26.399999618530273" hidden="0" customHeight="1">
      <x:c r="A181" s="12" t="str">
        <x:v>Daydream Knife</x:v>
      </x:c>
      <x:c r="B181" s="12" t="str">
        <x:v>DAYDREAM DAGGER</x:v>
      </x:c>
      <x:c r="C181" s="12" t="str">
        <x:v>weapon</x:v>
      </x:c>
      <x:c r="D181" s="12" t="str">
        <x:v>dagger</x:v>
      </x:c>
      <x:c r="E181" s="12" t="str">
        <x:v>early</x:v>
      </x:c>
      <x:c r="F181" s="12" t="str">
        <x:v>uncommon</x:v>
      </x:c>
      <x:c r="G181" s="12" t="str">
        <x:v>Daydream Knife — Payoff</x:v>
      </x:c>
      <x:c r="H181" s="34" t="n">
        <x:v>2</x:v>
      </x:c>
      <x:c r="I181" s="34" t="str">
        <x:v>attack</x:v>
      </x:c>
      <x:c r="J181" s="34" t="n">
        <x:v>4</x:v>
      </x:c>
      <x:c r="K181" s="34" t="n">
        <x:v>3</x:v>
      </x:c>
      <x:c r="L181" s="34" t="str"/>
      <x:c r="M181" s="12" t="str">
        <x:v>Bleed 2</x:v>
      </x:c>
      <x:c r="N181" s="12" t="str">
        <x:v>Quick, Precise, Harvest, Payoff, WeakPoint</x:v>
      </x:c>
      <x:c r="O181" s="12" t="str">
        <x:v>Deal 4 damage and 3 break damage. If this breaks a weak point, resolve Bleed 2 and the bait rider.</x:v>
      </x:c>
      <x:c r="P181" s="12" t="str">
        <x:v>Deal 4 damage and 3 break damage. If the weak point breaks, apply Bleed 2 and resolve: The quarry targets this survivor next unless another card redirects it.</x:v>
      </x:c>
      <x:c r="Q181" s="12" t="str"/>
      <x:c r="R181" s="12" t="str">
        <x:v>quirk: bait | countsAsCounter False, firstCounterFree False</x:v>
      </x:c>
      <x:c r="S181" s="12" t="str">
        <x:v>7e2b57151a8e</x:v>
      </x:c>
      <x:c r="T181" s="12" t="n">
        <x:f>COUNTIF($S$2:$S$757,S181)</x:f>
        <x:v>1</x:v>
      </x:c>
      <x:c r="U181" s="12" t="str">
        <x:f>IF(T181=1,"OK","DUPLICATE")</x:f>
        <x:v>OK</x:v>
      </x:c>
    </x:row>
    <x:row r="182" ht="39.599998474121094" hidden="0" customHeight="1">
      <x:c r="A182" s="12" t="str">
        <x:v>Death Visage</x:v>
      </x:c>
      <x:c r="B182" s="12" t="str">
        <x:v>DEATH MASK</x:v>
      </x:c>
      <x:c r="C182" s="12" t="str">
        <x:v>head</x:v>
      </x:c>
      <x:c r="D182" s="12" t="str">
        <x:v>charm</x:v>
      </x:c>
      <x:c r="E182" s="12" t="str">
        <x:v>mid</x:v>
      </x:c>
      <x:c r="F182" s="12" t="str">
        <x:v>rare</x:v>
      </x:c>
      <x:c r="G182" s="12" t="str">
        <x:v>Death Visage — Omen</x:v>
      </x:c>
      <x:c r="H182" s="34" t="n">
        <x:v>0</x:v>
      </x:c>
      <x:c r="I182" s="34" t="str">
        <x:v>skill</x:v>
      </x:c>
      <x:c r="J182" s="34" t="str"/>
      <x:c r="K182" s="34" t="str"/>
      <x:c r="L182" s="34" t="str"/>
      <x:c r="M182" s="12" t="str"/>
      <x:c r="N182" s="12" t="str">
        <x:v>Charm, Passive, Survival</x:v>
      </x:c>
      <x:c r="O182" s="12" t="str">
        <x:v>Peek at the next quarry card or weak-point reward. You may mark it; if you do, gain Panic 2.</x:v>
      </x:c>
      <x:c r="P182" s="12" t="str">
        <x:v>Peek at the next quarry AI, hit-location or weak-point reward, depending on screen. You may mark it. If marked, gain Panic 2. If you have Guarded, convert 1 Guarded into +2 damage.</x:v>
      </x:c>
      <x:c r="Q182" s="12" t="str"/>
      <x:c r="R182" s="12" t="str">
        <x:v>quirk: guarded</x:v>
      </x:c>
      <x:c r="S182" s="12" t="str">
        <x:v>c0b76ac75993</x:v>
      </x:c>
      <x:c r="T182" s="12" t="n">
        <x:f>COUNTIF($S$2:$S$757,S182)</x:f>
        <x:v>1</x:v>
      </x:c>
      <x:c r="U182" s="12" t="str">
        <x:f>IF(T182=1,"OK","DUPLICATE")</x:f>
        <x:v>OK</x:v>
      </x:c>
    </x:row>
    <x:row r="183" ht="39.599998474121094" hidden="0" customHeight="1">
      <x:c r="A183" s="12" t="str">
        <x:v>Death Visage</x:v>
      </x:c>
      <x:c r="B183" s="12" t="str">
        <x:v>DEATH MASK</x:v>
      </x:c>
      <x:c r="C183" s="12" t="str">
        <x:v>head</x:v>
      </x:c>
      <x:c r="D183" s="12" t="str">
        <x:v>charm</x:v>
      </x:c>
      <x:c r="E183" s="12" t="str">
        <x:v>mid</x:v>
      </x:c>
      <x:c r="F183" s="12" t="str">
        <x:v>rare</x:v>
      </x:c>
      <x:c r="G183" s="12" t="str">
        <x:v>Death Visage — Glimmer</x:v>
      </x:c>
      <x:c r="H183" s="34" t="n">
        <x:v>0</x:v>
      </x:c>
      <x:c r="I183" s="34" t="str">
        <x:v>reaction</x:v>
      </x:c>
      <x:c r="J183" s="34" t="str"/>
      <x:c r="K183" s="34" t="str"/>
      <x:c r="L183" s="34" t="str"/>
      <x:c r="M183" s="12" t="str"/>
      <x:c r="N183" s="12" t="str">
        <x:v>Charm, Passive, Survival</x:v>
      </x:c>
      <x:c r="O183" s="12" t="str">
        <x:v>When Snared or a hunt consequence would affect you, reduce it by 3; exhaust this charm.</x:v>
      </x:c>
      <x:c r="P183" s="12" t="str">
        <x:v>When Snared, Panic, or a hunt consequence would affect this survivor, reduce it by 3; exhaust this charm until the next settlement phase. If you have Guarded, convert 1 Guarded into +2 damage.</x:v>
      </x:c>
      <x:c r="Q183" s="12" t="str"/>
      <x:c r="R183" s="12" t="str">
        <x:v>quirk: guarded</x:v>
      </x:c>
      <x:c r="S183" s="12" t="str">
        <x:v>2bb68bbd22dd</x:v>
      </x:c>
      <x:c r="T183" s="12" t="n">
        <x:f>COUNTIF($S$2:$S$757,S183)</x:f>
        <x:v>1</x:v>
      </x:c>
      <x:c r="U183" s="12" t="str">
        <x:f>IF(T183=1,"OK","DUPLICATE")</x:f>
        <x:v>OK</x:v>
      </x:c>
    </x:row>
    <x:row r="184" ht="39.599998474121094" hidden="0" customHeight="1">
      <x:c r="A184" s="12" t="str">
        <x:v>Death's Wail (Hunt Phase)</x:v>
      </x:c>
      <x:c r="B184" s="12" t="str">
        <x:v>DEATH'S WAIL (HUNT PHASE)</x:v>
      </x:c>
      <x:c r="C184" s="12" t="str">
        <x:v>tool</x:v>
      </x:c>
      <x:c r="D184" s="12" t="str">
        <x:v>tool</x:v>
      </x:c>
      <x:c r="E184" s="12" t="str">
        <x:v>early</x:v>
      </x:c>
      <x:c r="F184" s="12" t="str">
        <x:v>rare</x:v>
      </x:c>
      <x:c r="G184" s="12" t="str">
        <x:v>Death's Wail (Hunt Phase) — Use</x:v>
      </x:c>
      <x:c r="H184" s="34" t="n">
        <x:v>0</x:v>
      </x:c>
      <x:c r="I184" s="34" t="str">
        <x:v>skill</x:v>
      </x:c>
      <x:c r="J184" s="34" t="str"/>
      <x:c r="K184" s="34" t="str"/>
      <x:c r="L184" s="34" t="str"/>
      <x:c r="M184" s="12" t="str">
        <x:v>Exposed 2</x:v>
      </x:c>
      <x:c r="N184" s="12" t="str">
        <x:v>Tool, Harvest, Retreat</x:v>
      </x:c>
      <x:c r="O184" s="12" t="str">
        <x:v>Gain +3 to the next harvest, retreat, or weak-point test. If it fails, apply Exposed 2 to the quarry or clear it from a survivor.</x:v>
      </x:c>
      <x:c r="P184" s="12" t="str">
        <x:v>Gain +3 to the next harvest, retreat, or weak-point test linked to Hunting Hall. On failure, either apply Exposed 2 to the quarry or clear that status from a survivor. Chosen ally gains Guarded 1 after this resolves.</x:v>
      </x:c>
      <x:c r="Q184" s="12" t="str"/>
      <x:c r="R184" s="12" t="str">
        <x:v>quirk: ally</x:v>
      </x:c>
      <x:c r="S184" s="12" t="str">
        <x:v>87f26feb2afe</x:v>
      </x:c>
      <x:c r="T184" s="12" t="n">
        <x:f>COUNTIF($S$2:$S$757,S184)</x:f>
        <x:v>1</x:v>
      </x:c>
      <x:c r="U184" s="12" t="str">
        <x:f>IF(T184=1,"OK","DUPLICATE")</x:f>
        <x:v>OK</x:v>
      </x:c>
    </x:row>
    <x:row r="185" ht="39.599998474121094" hidden="0" customHeight="1">
      <x:c r="A185" s="12" t="str">
        <x:v>Death's Wail (Hunt Phase)</x:v>
      </x:c>
      <x:c r="B185" s="12" t="str">
        <x:v>DEATH'S WAIL (HUNT PHASE)</x:v>
      </x:c>
      <x:c r="C185" s="12" t="str">
        <x:v>tool</x:v>
      </x:c>
      <x:c r="D185" s="12" t="str">
        <x:v>tool</x:v>
      </x:c>
      <x:c r="E185" s="12" t="str">
        <x:v>early</x:v>
      </x:c>
      <x:c r="F185" s="12" t="str">
        <x:v>rare</x:v>
      </x:c>
      <x:c r="G185" s="12" t="str">
        <x:v>Death's Wail (Hunt Phase) — Contingency</x:v>
      </x:c>
      <x:c r="H185" s="34" t="n">
        <x:v>0</x:v>
      </x:c>
      <x:c r="I185" s="34" t="str">
        <x:v>reaction</x:v>
      </x:c>
      <x:c r="J185" s="34" t="str"/>
      <x:c r="K185" s="34" t="str"/>
      <x:c r="L185" s="34" t="str"/>
      <x:c r="M185" s="12" t="str"/>
      <x:c r="N185" s="12" t="str">
        <x:v>Tool, Harvest, Retreat</x:v>
      </x:c>
      <x:c r="O185" s="12" t="str">
        <x:v>When a hunt or monster consequence is previewed, reduce it by 3; on retreat, preserve 2 gathered resource.</x:v>
      </x:c>
      <x:c r="P185" s="12" t="str">
        <x:v>When a hunt event, retreat roll, or monster consequence is previewed, reduce the penalty by 3. If retreating, preserve 2 gathered resource. Chosen ally gains Guarded 1 after this resolves.</x:v>
      </x:c>
      <x:c r="Q185" s="12" t="str"/>
      <x:c r="R185" s="12" t="str">
        <x:v>quirk: ally</x:v>
      </x:c>
      <x:c r="S185" s="12" t="str">
        <x:v>fbf9e9936e65</x:v>
      </x:c>
      <x:c r="T185" s="12" t="n">
        <x:f>COUNTIF($S$2:$S$757,S185)</x:f>
        <x:v>1</x:v>
      </x:c>
      <x:c r="U185" s="12" t="str">
        <x:f>IF(T185=1,"OK","DUPLICATE")</x:f>
        <x:v>OK</x:v>
      </x:c>
    </x:row>
    <x:row r="186" ht="39.599998474121094" hidden="0" customHeight="1">
      <x:c r="A186" s="12" t="str">
        <x:v>Death's Wail (Showdown Phase)</x:v>
      </x:c>
      <x:c r="B186" s="12" t="str">
        <x:v>DEATH'S WAIL (SHOWDOWN PHASE)</x:v>
      </x:c>
      <x:c r="C186" s="12" t="str">
        <x:v>tool</x:v>
      </x:c>
      <x:c r="D186" s="12" t="str">
        <x:v>tool</x:v>
      </x:c>
      <x:c r="E186" s="12" t="str">
        <x:v>early</x:v>
      </x:c>
      <x:c r="F186" s="12" t="str">
        <x:v>rare</x:v>
      </x:c>
      <x:c r="G186" s="12" t="str">
        <x:v>Death's Wail (Showdown Phase) — Use</x:v>
      </x:c>
      <x:c r="H186" s="34" t="n">
        <x:v>1</x:v>
      </x:c>
      <x:c r="I186" s="34" t="str">
        <x:v>skill</x:v>
      </x:c>
      <x:c r="J186" s="34" t="str"/>
      <x:c r="K186" s="34" t="str"/>
      <x:c r="L186" s="34" t="str"/>
      <x:c r="M186" s="12" t="str">
        <x:v>Marked 3</x:v>
      </x:c>
      <x:c r="N186" s="12" t="str">
        <x:v>Tool, Harvest, Retreat</x:v>
      </x:c>
      <x:c r="O186" s="12" t="str">
        <x:v>Gain +4 to the next harvest, retreat, or weak-point test. If it fails, apply Marked 3 to the quarry or clear it from a survivor.</x:v>
      </x:c>
      <x:c r="P186" s="12" t="str">
        <x:v>Gain +4 to the next harvest, retreat, or weak-point test linked to Hunting Hall. On failure, either apply Marked 3 to the quarry or clear that status from a survivor. If used on a hunt node, also mark one gathered resource as confirmed.</x:v>
      </x:c>
      <x:c r="Q186" s="12" t="str"/>
      <x:c r="R186" s="12" t="str">
        <x:v>quirk: retreat</x:v>
      </x:c>
      <x:c r="S186" s="12" t="str">
        <x:v>8a1c98167ece</x:v>
      </x:c>
      <x:c r="T186" s="12" t="n">
        <x:f>COUNTIF($S$2:$S$757,S186)</x:f>
        <x:v>1</x:v>
      </x:c>
      <x:c r="U186" s="12" t="str">
        <x:f>IF(T186=1,"OK","DUPLICATE")</x:f>
        <x:v>OK</x:v>
      </x:c>
    </x:row>
    <x:row r="187" ht="39.599998474121094" hidden="0" customHeight="1">
      <x:c r="A187" s="12" t="str">
        <x:v>Death's Wail (Showdown Phase)</x:v>
      </x:c>
      <x:c r="B187" s="12" t="str">
        <x:v>DEATH'S WAIL (SHOWDOWN PHASE)</x:v>
      </x:c>
      <x:c r="C187" s="12" t="str">
        <x:v>tool</x:v>
      </x:c>
      <x:c r="D187" s="12" t="str">
        <x:v>tool</x:v>
      </x:c>
      <x:c r="E187" s="12" t="str">
        <x:v>early</x:v>
      </x:c>
      <x:c r="F187" s="12" t="str">
        <x:v>rare</x:v>
      </x:c>
      <x:c r="G187" s="12" t="str">
        <x:v>Death's Wail (Showdown Phase) — Contingency</x:v>
      </x:c>
      <x:c r="H187" s="34" t="n">
        <x:v>1</x:v>
      </x:c>
      <x:c r="I187" s="34" t="str">
        <x:v>reaction</x:v>
      </x:c>
      <x:c r="J187" s="34" t="str"/>
      <x:c r="K187" s="34" t="str"/>
      <x:c r="L187" s="34" t="str"/>
      <x:c r="M187" s="12" t="str"/>
      <x:c r="N187" s="12" t="str">
        <x:v>Tool, Harvest, Retreat</x:v>
      </x:c>
      <x:c r="O187" s="12" t="str">
        <x:v>When a hunt or monster consequence is previewed, reduce it by 4; on retreat, preserve 1 gathered resource.</x:v>
      </x:c>
      <x:c r="P187" s="12" t="str">
        <x:v>When a hunt event, retreat roll, or monster consequence is previewed, reduce the penalty by 4. If retreating, preserve 1 gathered resource. If used on a hunt node, also mark one gathered resource as confirmed.</x:v>
      </x:c>
      <x:c r="Q187" s="12" t="str"/>
      <x:c r="R187" s="12" t="str">
        <x:v>quirk: retreat</x:v>
      </x:c>
      <x:c r="S187" s="12" t="str">
        <x:v>f7f6e213106b</x:v>
      </x:c>
      <x:c r="T187" s="12" t="n">
        <x:f>COUNTIF($S$2:$S$757,S187)</x:f>
        <x:v>1</x:v>
      </x:c>
      <x:c r="U187" s="12" t="str">
        <x:f>IF(T187=1,"OK","DUPLICATE")</x:f>
        <x:v>OK</x:v>
      </x:c>
    </x:row>
    <x:row r="188" ht="39.599998474121094" hidden="0" customHeight="1">
      <x:c r="A188" s="12" t="str">
        <x:v>Dense Bone Arrows</x:v>
      </x:c>
      <x:c r="B188" s="12" t="str">
        <x:v>DENSE BONE ARROWS</x:v>
      </x:c>
      <x:c r="C188" s="12" t="str">
        <x:v>weapon</x:v>
      </x:c>
      <x:c r="D188" s="12" t="str">
        <x:v>bow</x:v>
      </x:c>
      <x:c r="E188" s="12" t="str">
        <x:v>early</x:v>
      </x:c>
      <x:c r="F188" s="12" t="str">
        <x:v>uncommon</x:v>
      </x:c>
      <x:c r="G188" s="12" t="str">
        <x:v>Dense Bone Arrows — Opening Strike</x:v>
      </x:c>
      <x:c r="H188" s="34" t="n">
        <x:v>1</x:v>
      </x:c>
      <x:c r="I188" s="34" t="str">
        <x:v>attack</x:v>
      </x:c>
      <x:c r="J188" s="34" t="n">
        <x:v>3</x:v>
      </x:c>
      <x:c r="K188" s="34" t="n">
        <x:v>1</x:v>
      </x:c>
      <x:c r="L188" s="34" t="str"/>
      <x:c r="M188" s="12" t="str">
        <x:v>Bleed 1 | Target: White Lion</x:v>
      </x:c>
      <x:c r="N188" s="12" t="str">
        <x:v>Ranged, Marking, Precise, Attack</x:v>
      </x:c>
      <x:c r="O188" s="12" t="str">
        <x:v>Deal 3 damage. Apply Bleed 1 if the target has a White Lion weak point, otherwise gain Marked 1.</x:v>
      </x:c>
      <x:c r="P188" s="12" t="str">
        <x:v>Deal 3 damage with Dense Bone Arrows. Apply Bleed 1 against a matching White Lion weak point; otherwise apply Marked 1. If you already played an attack this turn, add +1 damage or +1 block.</x:v>
      </x:c>
      <x:c r="Q188" s="12" t="str"/>
      <x:c r="R188" s="12" t="str">
        <x:v>quirk: followUp</x:v>
      </x:c>
      <x:c r="S188" s="12" t="str">
        <x:v>dd65139bad21</x:v>
      </x:c>
      <x:c r="T188" s="12" t="n">
        <x:f>COUNTIF($S$2:$S$757,S188)</x:f>
        <x:v>1</x:v>
      </x:c>
      <x:c r="U188" s="12" t="str">
        <x:f>IF(T188=1,"OK","DUPLICATE")</x:f>
        <x:v>OK</x:v>
      </x:c>
    </x:row>
    <x:row r="189" ht="26.399999618530273" hidden="0" customHeight="1">
      <x:c r="A189" s="12" t="str">
        <x:v>Dense Bone Arrows</x:v>
      </x:c>
      <x:c r="B189" s="12" t="str">
        <x:v>DENSE BONE ARROWS</x:v>
      </x:c>
      <x:c r="C189" s="12" t="str">
        <x:v>weapon</x:v>
      </x:c>
      <x:c r="D189" s="12" t="str">
        <x:v>bow</x:v>
      </x:c>
      <x:c r="E189" s="12" t="str">
        <x:v>early</x:v>
      </x:c>
      <x:c r="F189" s="12" t="str">
        <x:v>uncommon</x:v>
      </x:c>
      <x:c r="G189" s="12" t="str">
        <x:v>Dense Bone Arrows — Technique</x:v>
      </x:c>
      <x:c r="H189" s="34" t="n">
        <x:v>2</x:v>
      </x:c>
      <x:c r="I189" s="34" t="str">
        <x:v>skill</x:v>
      </x:c>
      <x:c r="J189" s="34" t="str"/>
      <x:c r="K189" s="34" t="str"/>
      <x:c r="L189" s="34" t="n">
        <x:v>1</x:v>
      </x:c>
      <x:c r="M189" s="12" t="str">
        <x:v>Opens: True</x:v>
      </x:c>
      <x:c r="N189" s="12" t="str">
        <x:v>Ranged, Marking, Precise, Setup</x:v>
      </x:c>
      <x:c r="O189" s="12" t="str">
        <x:v>Mark a wing, eye or distant weak point; ranged attacks ignore Guarded 1. Also gain 1 block.</x:v>
      </x:c>
      <x:c r="P189" s="12" t="str">
        <x:v>Mark a wing, eye or distant weak point; ranged attacks ignore Guarded 1. Gain 1 block. If you already played an attack this turn, add +1 damage or +1 block.</x:v>
      </x:c>
      <x:c r="Q189" s="12" t="str"/>
      <x:c r="R189" s="12" t="str">
        <x:v>quirk: followUp</x:v>
      </x:c>
      <x:c r="S189" s="12" t="str">
        <x:v>36981ab21f5d</x:v>
      </x:c>
      <x:c r="T189" s="12" t="n">
        <x:f>COUNTIF($S$2:$S$757,S189)</x:f>
        <x:v>1</x:v>
      </x:c>
      <x:c r="U189" s="12" t="str">
        <x:f>IF(T189=1,"OK","DUPLICATE")</x:f>
        <x:v>OK</x:v>
      </x:c>
    </x:row>
    <x:row r="190" ht="26.399999618530273" hidden="0" customHeight="1">
      <x:c r="A190" s="12" t="str">
        <x:v>Dense Bone Arrows</x:v>
      </x:c>
      <x:c r="B190" s="12" t="str">
        <x:v>DENSE BONE ARROWS</x:v>
      </x:c>
      <x:c r="C190" s="12" t="str">
        <x:v>weapon</x:v>
      </x:c>
      <x:c r="D190" s="12" t="str">
        <x:v>bow</x:v>
      </x:c>
      <x:c r="E190" s="12" t="str">
        <x:v>early</x:v>
      </x:c>
      <x:c r="F190" s="12" t="str">
        <x:v>uncommon</x:v>
      </x:c>
      <x:c r="G190" s="12" t="str">
        <x:v>Dense Bone Arrows — Payoff</x:v>
      </x:c>
      <x:c r="H190" s="34" t="n">
        <x:v>2</x:v>
      </x:c>
      <x:c r="I190" s="34" t="str">
        <x:v>attack</x:v>
      </x:c>
      <x:c r="J190" s="34" t="n">
        <x:v>5</x:v>
      </x:c>
      <x:c r="K190" s="34" t="n">
        <x:v>2</x:v>
      </x:c>
      <x:c r="L190" s="34" t="str"/>
      <x:c r="M190" s="12" t="str">
        <x:v>Bleed 1</x:v>
      </x:c>
      <x:c r="N190" s="12" t="str">
        <x:v>Ranged, Marking, Precise, Payoff, WeakPoint</x:v>
      </x:c>
      <x:c r="O190" s="12" t="str">
        <x:v>Deal 5 damage and 2 break damage. If this breaks a weak point, resolve Bleed 1 and the followUp rider.</x:v>
      </x:c>
      <x:c r="P190" s="12" t="str">
        <x:v>Deal 5 damage and 2 break damage. If the weak point breaks, apply Bleed 1 and resolve: If you already played an attack this turn, add +1 damage or +1 block.</x:v>
      </x:c>
      <x:c r="Q190" s="12" t="str"/>
      <x:c r="R190" s="12" t="str">
        <x:v>quirk: followUp | countsAsCounter False, firstCounterFree False</x:v>
      </x:c>
      <x:c r="S190" s="12" t="str">
        <x:v>deae48dc09cf</x:v>
      </x:c>
      <x:c r="T190" s="12" t="n">
        <x:f>COUNTIF($S$2:$S$757,S190)</x:f>
        <x:v>1</x:v>
      </x:c>
      <x:c r="U190" s="12" t="str">
        <x:f>IF(T190=1,"OK","DUPLICATE")</x:f>
        <x:v>OK</x:v>
      </x:c>
    </x:row>
    <x:row r="191" ht="39.599998474121094" hidden="0" customHeight="1">
      <x:c r="A191" s="12" t="str">
        <x:v>Denticle Axe</x:v>
      </x:c>
      <x:c r="B191" s="12" t="str">
        <x:v>DENTICLE AXE</x:v>
      </x:c>
      <x:c r="C191" s="12" t="str">
        <x:v>weapon</x:v>
      </x:c>
      <x:c r="D191" s="12" t="str">
        <x:v>axe</x:v>
      </x:c>
      <x:c r="E191" s="12" t="str">
        <x:v>mid</x:v>
      </x:c>
      <x:c r="F191" s="12" t="str">
        <x:v>uncommon</x:v>
      </x:c>
      <x:c r="G191" s="12" t="str">
        <x:v>Denticle Axe — Opening Strike</x:v>
      </x:c>
      <x:c r="H191" s="34" t="n">
        <x:v>1</x:v>
      </x:c>
      <x:c r="I191" s="34" t="str">
        <x:v>attack</x:v>
      </x:c>
      <x:c r="J191" s="34" t="n">
        <x:v>5</x:v>
      </x:c>
      <x:c r="K191" s="34" t="n">
        <x:v>3</x:v>
      </x:c>
      <x:c r="L191" s="34" t="str"/>
      <x:c r="M191" s="12" t="str">
        <x:v>Burn 2 | Target: Sky Reef</x:v>
      </x:c>
      <x:c r="N191" s="12" t="str">
        <x:v>Heavy, Brutal, Harvest, Attack</x:v>
      </x:c>
      <x:c r="O191" s="12" t="str">
        <x:v>Deal 5 damage. Apply Burn 2 if the target has a Sky Reef weak point, otherwise gain Marked 1.</x:v>
      </x:c>
      <x:c r="P191" s="12" t="str">
        <x:v>Deal 5 damage with Denticle Axe. Apply Burn 2 against a matching Sky Reef weak point; otherwise apply Marked 1. If the quarry is below half HP, add +1 break damage.</x:v>
      </x:c>
      <x:c r="Q191" s="12" t="str"/>
      <x:c r="R191" s="12" t="str">
        <x:v>quirk: bloodied</x:v>
      </x:c>
      <x:c r="S191" s="12" t="str">
        <x:v>b3a01c22a4ea</x:v>
      </x:c>
      <x:c r="T191" s="12" t="n">
        <x:f>COUNTIF($S$2:$S$757,S191)</x:f>
        <x:v>1</x:v>
      </x:c>
      <x:c r="U191" s="12" t="str">
        <x:f>IF(T191=1,"OK","DUPLICATE")</x:f>
        <x:v>OK</x:v>
      </x:c>
    </x:row>
    <x:row r="192" ht="26.399999618530273" hidden="0" customHeight="1">
      <x:c r="A192" s="12" t="str">
        <x:v>Denticle Axe</x:v>
      </x:c>
      <x:c r="B192" s="12" t="str">
        <x:v>DENTICLE AXE</x:v>
      </x:c>
      <x:c r="C192" s="12" t="str">
        <x:v>weapon</x:v>
      </x:c>
      <x:c r="D192" s="12" t="str">
        <x:v>axe</x:v>
      </x:c>
      <x:c r="E192" s="12" t="str">
        <x:v>mid</x:v>
      </x:c>
      <x:c r="F192" s="12" t="str">
        <x:v>uncommon</x:v>
      </x:c>
      <x:c r="G192" s="12" t="str">
        <x:v>Denticle Axe — Technique</x:v>
      </x:c>
      <x:c r="H192" s="34" t="n">
        <x:v>2</x:v>
      </x:c>
      <x:c r="I192" s="34" t="str">
        <x:v>skill</x:v>
      </x:c>
      <x:c r="J192" s="34" t="str"/>
      <x:c r="K192" s="34" t="str"/>
      <x:c r="L192" s="34" t="n">
        <x:v>3</x:v>
      </x:c>
      <x:c r="M192" s="12" t="str">
        <x:v>Opens: True</x:v>
      </x:c>
      <x:c r="N192" s="12" t="str">
        <x:v>Heavy, Brutal, Harvest, Setup</x:v>
      </x:c>
      <x:c r="O192" s="12" t="str">
        <x:v>Commit to a heavy chop; +3 break damage but failed fragile harvests worsen by one step. Also gain 3 block.</x:v>
      </x:c>
      <x:c r="P192" s="12" t="str">
        <x:v>Commit to a heavy chop; +3 break damage but failed fragile harvests worsen by one step. Gain 3 block. If the quarry is below half HP, add +1 break damage.</x:v>
      </x:c>
      <x:c r="Q192" s="12" t="str"/>
      <x:c r="R192" s="12" t="str">
        <x:v>quirk: bloodied</x:v>
      </x:c>
      <x:c r="S192" s="12" t="str">
        <x:v>1d11fb2a9639</x:v>
      </x:c>
      <x:c r="T192" s="12" t="n">
        <x:f>COUNTIF($S$2:$S$757,S192)</x:f>
        <x:v>1</x:v>
      </x:c>
      <x:c r="U192" s="12" t="str">
        <x:f>IF(T192=1,"OK","DUPLICATE")</x:f>
        <x:v>OK</x:v>
      </x:c>
    </x:row>
    <x:row r="193" ht="26.399999618530273" hidden="0" customHeight="1">
      <x:c r="A193" s="12" t="str">
        <x:v>Denticle Axe</x:v>
      </x:c>
      <x:c r="B193" s="12" t="str">
        <x:v>DENTICLE AXE</x:v>
      </x:c>
      <x:c r="C193" s="12" t="str">
        <x:v>weapon</x:v>
      </x:c>
      <x:c r="D193" s="12" t="str">
        <x:v>axe</x:v>
      </x:c>
      <x:c r="E193" s="12" t="str">
        <x:v>mid</x:v>
      </x:c>
      <x:c r="F193" s="12" t="str">
        <x:v>uncommon</x:v>
      </x:c>
      <x:c r="G193" s="12" t="str">
        <x:v>Denticle Axe — Payoff</x:v>
      </x:c>
      <x:c r="H193" s="34" t="n">
        <x:v>3</x:v>
      </x:c>
      <x:c r="I193" s="34" t="str">
        <x:v>attack</x:v>
      </x:c>
      <x:c r="J193" s="34" t="n">
        <x:v>9</x:v>
      </x:c>
      <x:c r="K193" s="34" t="n">
        <x:v>4</x:v>
      </x:c>
      <x:c r="L193" s="34" t="str"/>
      <x:c r="M193" s="12" t="str">
        <x:v>Burn 1</x:v>
      </x:c>
      <x:c r="N193" s="12" t="str">
        <x:v>Heavy, Brutal, Harvest, Payoff, WeakPoint</x:v>
      </x:c>
      <x:c r="O193" s="12" t="str">
        <x:v>Deal 9 damage and 4 break damage. If this breaks a weak point, resolve Burn 1 and the bloodied rider.</x:v>
      </x:c>
      <x:c r="P193" s="12" t="str">
        <x:v>Deal 9 damage and 4 break damage. If the weak point breaks, apply Burn 1 and resolve: If the quarry is below half HP, add +1 break damage.</x:v>
      </x:c>
      <x:c r="Q193" s="12" t="str"/>
      <x:c r="R193" s="12" t="str">
        <x:v>quirk: bloodied | countsAsCounter False, firstCounterFree False</x:v>
      </x:c>
      <x:c r="S193" s="12" t="str">
        <x:v>9d38dbde0e05</x:v>
      </x:c>
      <x:c r="T193" s="12" t="n">
        <x:f>COUNTIF($S$2:$S$757,S193)</x:f>
        <x:v>1</x:v>
      </x:c>
      <x:c r="U193" s="12" t="str">
        <x:f>IF(T193=1,"OK","DUPLICATE")</x:f>
        <x:v>OK</x:v>
      </x:c>
    </x:row>
    <x:row r="194" ht="39.599998474121094" hidden="0" customHeight="1">
      <x:c r="A194" s="12" t="str">
        <x:v>Digging Claw</x:v>
      </x:c>
      <x:c r="B194" s="12" t="str">
        <x:v>DIGGING CLAW</x:v>
      </x:c>
      <x:c r="C194" s="12" t="str">
        <x:v>tool</x:v>
      </x:c>
      <x:c r="D194" s="12" t="str">
        <x:v>tool</x:v>
      </x:c>
      <x:c r="E194" s="12" t="str">
        <x:v>mid</x:v>
      </x:c>
      <x:c r="F194" s="12" t="str">
        <x:v>uncommon</x:v>
      </x:c>
      <x:c r="G194" s="12" t="str">
        <x:v>Digging Claw — Use</x:v>
      </x:c>
      <x:c r="H194" s="34" t="n">
        <x:v>1</x:v>
      </x:c>
      <x:c r="I194" s="34" t="str">
        <x:v>skill</x:v>
      </x:c>
      <x:c r="J194" s="34" t="str"/>
      <x:c r="K194" s="34" t="str"/>
      <x:c r="L194" s="34" t="str"/>
      <x:c r="M194" s="12" t="str">
        <x:v>Shock 3</x:v>
      </x:c>
      <x:c r="N194" s="12" t="str">
        <x:v>Tool, Harvest, Retreat</x:v>
      </x:c>
      <x:c r="O194" s="12" t="str">
        <x:v>Gain +4 to the next harvest, retreat, or weak-point test. If it fails, apply Shock 3 to the quarry or clear it from a survivor.</x:v>
      </x:c>
      <x:c r="P194" s="12" t="str">
        <x:v>Gain +4 to the next harvest, retreat, or weak-point test linked to Wet Resin Crafter. On failure, either apply Shock 3 to the quarry or clear that status from a survivor. On a failed harvest, keep one common fallback material.</x:v>
      </x:c>
      <x:c r="Q194" s="12" t="str"/>
      <x:c r="R194" s="12" t="str">
        <x:v>quirk: salvage</x:v>
      </x:c>
      <x:c r="S194" s="12" t="str">
        <x:v>3dac439b783f</x:v>
      </x:c>
      <x:c r="T194" s="12" t="n">
        <x:f>COUNTIF($S$2:$S$757,S194)</x:f>
        <x:v>1</x:v>
      </x:c>
      <x:c r="U194" s="12" t="str">
        <x:f>IF(T194=1,"OK","DUPLICATE")</x:f>
        <x:v>OK</x:v>
      </x:c>
    </x:row>
    <x:row r="195" ht="39.599998474121094" hidden="0" customHeight="1">
      <x:c r="A195" s="12" t="str">
        <x:v>Digging Claw</x:v>
      </x:c>
      <x:c r="B195" s="12" t="str">
        <x:v>DIGGING CLAW</x:v>
      </x:c>
      <x:c r="C195" s="12" t="str">
        <x:v>tool</x:v>
      </x:c>
      <x:c r="D195" s="12" t="str">
        <x:v>tool</x:v>
      </x:c>
      <x:c r="E195" s="12" t="str">
        <x:v>mid</x:v>
      </x:c>
      <x:c r="F195" s="12" t="str">
        <x:v>uncommon</x:v>
      </x:c>
      <x:c r="G195" s="12" t="str">
        <x:v>Digging Claw — Contingency</x:v>
      </x:c>
      <x:c r="H195" s="34" t="n">
        <x:v>1</x:v>
      </x:c>
      <x:c r="I195" s="34" t="str">
        <x:v>reaction</x:v>
      </x:c>
      <x:c r="J195" s="34" t="str"/>
      <x:c r="K195" s="34" t="str"/>
      <x:c r="L195" s="34" t="str"/>
      <x:c r="M195" s="12" t="str"/>
      <x:c r="N195" s="12" t="str">
        <x:v>Tool, Harvest, Retreat</x:v>
      </x:c>
      <x:c r="O195" s="12" t="str">
        <x:v>When a hunt or monster consequence is previewed, reduce it by 5; on retreat, preserve 2 gathered resource.</x:v>
      </x:c>
      <x:c r="P195" s="12" t="str">
        <x:v>When a hunt event, retreat roll, or monster consequence is previewed, reduce the penalty by 5. If retreating, preserve 2 gathered resource. On a failed harvest, keep one common fallback material.</x:v>
      </x:c>
      <x:c r="Q195" s="12" t="str"/>
      <x:c r="R195" s="12" t="str">
        <x:v>quirk: salvage</x:v>
      </x:c>
      <x:c r="S195" s="12" t="str">
        <x:v>a76b4dde413f</x:v>
      </x:c>
      <x:c r="T195" s="12" t="n">
        <x:f>COUNTIF($S$2:$S$757,S195)</x:f>
        <x:v>1</x:v>
      </x:c>
      <x:c r="U195" s="12" t="str">
        <x:f>IF(T195=1,"OK","DUPLICATE")</x:f>
        <x:v>OK</x:v>
      </x:c>
    </x:row>
    <x:row r="196" ht="39.599998474121094" hidden="0" customHeight="1">
      <x:c r="A196" s="12" t="str">
        <x:v>Ember Drake Armor Set</x:v>
      </x:c>
      <x:c r="B196" s="12" t="str">
        <x:v>DRAGON ARMOR SET</x:v>
      </x:c>
      <x:c r="C196" s="12" t="str">
        <x:v>set</x:v>
      </x:c>
      <x:c r="D196" s="12" t="str">
        <x:v>armor</x:v>
      </x:c>
      <x:c r="E196" s="12" t="str">
        <x:v>apex</x:v>
      </x:c>
      <x:c r="F196" s="12" t="str">
        <x:v>uncommon</x:v>
      </x:c>
      <x:c r="G196" s="12" t="str">
        <x:v>Ember Drake Armor Set — Brace</x:v>
      </x:c>
      <x:c r="H196" s="34" t="n">
        <x:v>1</x:v>
      </x:c>
      <x:c r="I196" s="34" t="str">
        <x:v>skill</x:v>
      </x:c>
      <x:c r="J196" s="34" t="str"/>
      <x:c r="K196" s="34" t="str"/>
      <x:c r="L196" s="34" t="n">
        <x:v>4</x:v>
      </x:c>
      <x:c r="M196" s="12" t="str"/>
      <x:c r="N196" s="12" t="str">
        <x:v>Defensive, Party, WoundCare</x:v>
      </x:c>
      <x:c r="O196" s="12" t="str">
        <x:v>Gain 4 block and Guarded 1. If hit before your next turn, reduce Burn or Panic by 1.</x:v>
      </x:c>
      <x:c r="P196" s="12" t="str">
        <x:v>Gain 4 block and Guarded 1. If the next monster hit lands before your next turn, reduce Burn or Panic by 1 after damage. You may gain Panic 1 to increase the listed number by 2.</x:v>
      </x:c>
      <x:c r="Q196" s="12" t="str"/>
      <x:c r="R196" s="12" t="str">
        <x:v>quirk: panicBrake</x:v>
      </x:c>
      <x:c r="S196" s="12" t="str">
        <x:v>6449f97f7418</x:v>
      </x:c>
      <x:c r="T196" s="12" t="n">
        <x:f>COUNTIF($S$2:$S$757,S196)</x:f>
        <x:v>1</x:v>
      </x:c>
      <x:c r="U196" s="12" t="str">
        <x:f>IF(T196=1,"OK","DUPLICATE")</x:f>
        <x:v>OK</x:v>
      </x:c>
    </x:row>
    <x:row r="197" ht="26.399999618530273" hidden="0" customHeight="1">
      <x:c r="A197" s="12" t="str">
        <x:v>Ember Drake Armor Set</x:v>
      </x:c>
      <x:c r="B197" s="12" t="str">
        <x:v>DRAGON ARMOR SET</x:v>
      </x:c>
      <x:c r="C197" s="12" t="str">
        <x:v>set</x:v>
      </x:c>
      <x:c r="D197" s="12" t="str">
        <x:v>armor</x:v>
      </x:c>
      <x:c r="E197" s="12" t="str">
        <x:v>apex</x:v>
      </x:c>
      <x:c r="F197" s="12" t="str">
        <x:v>uncommon</x:v>
      </x:c>
      <x:c r="G197" s="12" t="str">
        <x:v>Ember Drake Armor Set — Setline</x:v>
      </x:c>
      <x:c r="H197" s="34" t="n">
        <x:v>1</x:v>
      </x:c>
      <x:c r="I197" s="34" t="str">
        <x:v>reaction</x:v>
      </x:c>
      <x:c r="J197" s="34" t="str"/>
      <x:c r="K197" s="34" t="str"/>
      <x:c r="L197" s="34" t="n">
        <x:v>5</x:v>
      </x:c>
      <x:c r="M197" s="12" t="str"/>
      <x:c r="N197" s="12" t="str">
        <x:v>Defensive, Party, WoundCare, Reaction</x:v>
      </x:c>
      <x:c r="O197" s="12" t="str">
        <x:v>After damage is previewed, prevent 5 damage. Then give the next ally Guarded 3.</x:v>
      </x:c>
      <x:c r="P197" s="12" t="str">
        <x:v>After incoming damage is previewed, prevent 5 damage with the set slot. Then the next ally gains Guarded 3. You may gain Panic 1 to increase the listed number by 2.</x:v>
      </x:c>
      <x:c r="Q197" s="12" t="str"/>
      <x:c r="R197" s="12" t="str">
        <x:v>quirk: panicBrake</x:v>
      </x:c>
      <x:c r="S197" s="12" t="str">
        <x:v>6a8df32ae44c</x:v>
      </x:c>
      <x:c r="T197" s="12" t="n">
        <x:f>COUNTIF($S$2:$S$757,S197)</x:f>
        <x:v>1</x:v>
      </x:c>
      <x:c r="U197" s="12" t="str">
        <x:f>IF(T197=1,"OK","DUPLICATE")</x:f>
        <x:v>OK</x:v>
      </x:c>
    </x:row>
    <x:row r="198" ht="39.599998474121094" hidden="0" customHeight="1">
      <x:c r="A198" s="12" t="str">
        <x:v>Ember Drake Belt</x:v>
      </x:c>
      <x:c r="B198" s="12" t="str">
        <x:v>DRAGON BELT</x:v>
      </x:c>
      <x:c r="C198" s="12" t="str">
        <x:v>waist</x:v>
      </x:c>
      <x:c r="D198" s="12" t="str">
        <x:v>armor</x:v>
      </x:c>
      <x:c r="E198" s="12" t="str">
        <x:v>apex</x:v>
      </x:c>
      <x:c r="F198" s="12" t="str">
        <x:v>uncommon</x:v>
      </x:c>
      <x:c r="G198" s="12" t="str">
        <x:v>Ember Drake Belt — Brace</x:v>
      </x:c>
      <x:c r="H198" s="34" t="n">
        <x:v>1</x:v>
      </x:c>
      <x:c r="I198" s="34" t="str">
        <x:v>skill</x:v>
      </x:c>
      <x:c r="J198" s="34" t="str"/>
      <x:c r="K198" s="34" t="str"/>
      <x:c r="L198" s="34" t="n">
        <x:v>5</x:v>
      </x:c>
      <x:c r="M198" s="12" t="str"/>
      <x:c r="N198" s="12" t="str">
        <x:v>Defensive, Party, WoundCare</x:v>
      </x:c>
      <x:c r="O198" s="12" t="str">
        <x:v>Gain 5 block and Guarded 2. If hit before your next turn, reduce Burn or Panic by 1.</x:v>
      </x:c>
      <x:c r="P198" s="12" t="str">
        <x:v>Gain 5 block and Guarded 2. If the next monster hit lands before your next turn, reduce Burn or Panic by 1 after damage. Chosen ally gains Guarded 1 after this resolves.</x:v>
      </x:c>
      <x:c r="Q198" s="12" t="str"/>
      <x:c r="R198" s="12" t="str">
        <x:v>quirk: ally</x:v>
      </x:c>
      <x:c r="S198" s="12" t="str">
        <x:v>8c77cf2db229</x:v>
      </x:c>
      <x:c r="T198" s="12" t="n">
        <x:f>COUNTIF($S$2:$S$757,S198)</x:f>
        <x:v>1</x:v>
      </x:c>
      <x:c r="U198" s="12" t="str">
        <x:f>IF(T198=1,"OK","DUPLICATE")</x:f>
        <x:v>OK</x:v>
      </x:c>
    </x:row>
    <x:row r="199" ht="26.399999618530273" hidden="0" customHeight="1">
      <x:c r="A199" s="12" t="str">
        <x:v>Ember Drake Belt</x:v>
      </x:c>
      <x:c r="B199" s="12" t="str">
        <x:v>DRAGON BELT</x:v>
      </x:c>
      <x:c r="C199" s="12" t="str">
        <x:v>waist</x:v>
      </x:c>
      <x:c r="D199" s="12" t="str">
        <x:v>armor</x:v>
      </x:c>
      <x:c r="E199" s="12" t="str">
        <x:v>apex</x:v>
      </x:c>
      <x:c r="F199" s="12" t="str">
        <x:v>uncommon</x:v>
      </x:c>
      <x:c r="G199" s="12" t="str">
        <x:v>Ember Drake Belt — Fitted Plate</x:v>
      </x:c>
      <x:c r="H199" s="34" t="n">
        <x:v>2</x:v>
      </x:c>
      <x:c r="I199" s="34" t="str">
        <x:v>reaction</x:v>
      </x:c>
      <x:c r="J199" s="34" t="str"/>
      <x:c r="K199" s="34" t="str"/>
      <x:c r="L199" s="34" t="n">
        <x:v>7</x:v>
      </x:c>
      <x:c r="M199" s="12" t="str"/>
      <x:c r="N199" s="12" t="str">
        <x:v>Defensive, Party, WoundCare, Reaction</x:v>
      </x:c>
      <x:c r="O199" s="12" t="str">
        <x:v>After damage is previewed, prevent 7 damage. Then give the next ally Guarded 3.</x:v>
      </x:c>
      <x:c r="P199" s="12" t="str">
        <x:v>After incoming damage is previewed, prevent 7 damage with the waist slot. Then the next ally gains Guarded 3. Chosen ally gains Guarded 1 after this resolves.</x:v>
      </x:c>
      <x:c r="Q199" s="12" t="str"/>
      <x:c r="R199" s="12" t="str">
        <x:v>quirk: ally</x:v>
      </x:c>
      <x:c r="S199" s="12" t="str">
        <x:v>0f9f103619cb</x:v>
      </x:c>
      <x:c r="T199" s="12" t="n">
        <x:f>COUNTIF($S$2:$S$757,S199)</x:f>
        <x:v>1</x:v>
      </x:c>
      <x:c r="U199" s="12" t="str">
        <x:f>IF(T199=1,"OK","DUPLICATE")</x:f>
        <x:v>OK</x:v>
      </x:c>
    </x:row>
    <x:row r="200" ht="39.599998474121094" hidden="0" customHeight="1">
      <x:c r="A200" s="12" t="str">
        <x:v>Ember Drake Bite Bolt</x:v>
      </x:c>
      <x:c r="B200" s="12" t="str">
        <x:v>DRAGON BITE BOLT</x:v>
      </x:c>
      <x:c r="C200" s="12" t="str">
        <x:v>weapon</x:v>
      </x:c>
      <x:c r="D200" s="12" t="str">
        <x:v>bow</x:v>
      </x:c>
      <x:c r="E200" s="12" t="str">
        <x:v>apex</x:v>
      </x:c>
      <x:c r="F200" s="12" t="str">
        <x:v>uncommon</x:v>
      </x:c>
      <x:c r="G200" s="12" t="str">
        <x:v>Ember Drake Bite Bolt — Opening Strike</x:v>
      </x:c>
      <x:c r="H200" s="34" t="n">
        <x:v>1</x:v>
      </x:c>
      <x:c r="I200" s="34" t="str">
        <x:v>attack</x:v>
      </x:c>
      <x:c r="J200" s="34" t="n">
        <x:v>4</x:v>
      </x:c>
      <x:c r="K200" s="34" t="n">
        <x:v>4</x:v>
      </x:c>
      <x:c r="L200" s="34" t="str"/>
      <x:c r="M200" s="12" t="str">
        <x:v>Burn 4 | Target: Dragon King</x:v>
      </x:c>
      <x:c r="N200" s="12" t="str">
        <x:v>Ranged, Marking, Precise, Attack</x:v>
      </x:c>
      <x:c r="O200" s="12" t="str">
        <x:v>Deal 4 damage. Apply Burn 4 if the target has a Dragon King weak point, otherwise gain Marked 1.</x:v>
      </x:c>
      <x:c r="P200" s="12" t="str">
        <x:v>Deal 4 damage with Ember Drake Bite Bolt. Apply Burn 4 against a matching Dragon King weak point; otherwise apply Marked 1. If this breaks a weak point, improve harvest quality by one step unless it is already Clean.</x:v>
      </x:c>
      <x:c r="Q200" s="12" t="str"/>
      <x:c r="R200" s="12" t="str">
        <x:v>quirk: harvest</x:v>
      </x:c>
      <x:c r="S200" s="12" t="str">
        <x:v>68c7244e248b</x:v>
      </x:c>
      <x:c r="T200" s="12" t="n">
        <x:f>COUNTIF($S$2:$S$757,S200)</x:f>
        <x:v>1</x:v>
      </x:c>
      <x:c r="U200" s="12" t="str">
        <x:f>IF(T200=1,"OK","DUPLICATE")</x:f>
        <x:v>OK</x:v>
      </x:c>
    </x:row>
    <x:row r="201" ht="39.599998474121094" hidden="0" customHeight="1">
      <x:c r="A201" s="12" t="str">
        <x:v>Ember Drake Bite Bolt</x:v>
      </x:c>
      <x:c r="B201" s="12" t="str">
        <x:v>DRAGON BITE BOLT</x:v>
      </x:c>
      <x:c r="C201" s="12" t="str">
        <x:v>weapon</x:v>
      </x:c>
      <x:c r="D201" s="12" t="str">
        <x:v>bow</x:v>
      </x:c>
      <x:c r="E201" s="12" t="str">
        <x:v>apex</x:v>
      </x:c>
      <x:c r="F201" s="12" t="str">
        <x:v>uncommon</x:v>
      </x:c>
      <x:c r="G201" s="12" t="str">
        <x:v>Ember Drake Bite Bolt — Technique</x:v>
      </x:c>
      <x:c r="H201" s="34" t="n">
        <x:v>1</x:v>
      </x:c>
      <x:c r="I201" s="34" t="str">
        <x:v>skill</x:v>
      </x:c>
      <x:c r="J201" s="34" t="str"/>
      <x:c r="K201" s="34" t="str"/>
      <x:c r="L201" s="34" t="n">
        <x:v>5</x:v>
      </x:c>
      <x:c r="M201" s="12" t="str">
        <x:v>Opens: True</x:v>
      </x:c>
      <x:c r="N201" s="12" t="str">
        <x:v>Ranged, Marking, Precise, Setup</x:v>
      </x:c>
      <x:c r="O201" s="12" t="str">
        <x:v>Mark a wing, eye or distant weak point; ranged attacks ignore Guarded 1. Also gain 5 block.</x:v>
      </x:c>
      <x:c r="P201" s="12" t="str">
        <x:v>Mark a wing, eye or distant weak point; ranged attacks ignore Guarded 1. Gain 5 block. If this breaks a weak point, improve harvest quality by one step unless it is already Clean.</x:v>
      </x:c>
      <x:c r="Q201" s="12" t="str"/>
      <x:c r="R201" s="12" t="str">
        <x:v>quirk: harvest</x:v>
      </x:c>
      <x:c r="S201" s="12" t="str">
        <x:v>dd630404a471</x:v>
      </x:c>
      <x:c r="T201" s="12" t="n">
        <x:f>COUNTIF($S$2:$S$757,S201)</x:f>
        <x:v>1</x:v>
      </x:c>
      <x:c r="U201" s="12" t="str">
        <x:f>IF(T201=1,"OK","DUPLICATE")</x:f>
        <x:v>OK</x:v>
      </x:c>
    </x:row>
    <x:row r="202" ht="39.599998474121094" hidden="0" customHeight="1">
      <x:c r="A202" s="12" t="str">
        <x:v>Ember Drake Bite Bolt</x:v>
      </x:c>
      <x:c r="B202" s="12" t="str">
        <x:v>DRAGON BITE BOLT</x:v>
      </x:c>
      <x:c r="C202" s="12" t="str">
        <x:v>weapon</x:v>
      </x:c>
      <x:c r="D202" s="12" t="str">
        <x:v>bow</x:v>
      </x:c>
      <x:c r="E202" s="12" t="str">
        <x:v>apex</x:v>
      </x:c>
      <x:c r="F202" s="12" t="str">
        <x:v>uncommon</x:v>
      </x:c>
      <x:c r="G202" s="12" t="str">
        <x:v>Ember Drake Bite Bolt — Payoff</x:v>
      </x:c>
      <x:c r="H202" s="34" t="n">
        <x:v>2</x:v>
      </x:c>
      <x:c r="I202" s="34" t="str">
        <x:v>attack</x:v>
      </x:c>
      <x:c r="J202" s="34" t="n">
        <x:v>8</x:v>
      </x:c>
      <x:c r="K202" s="34" t="n">
        <x:v>5</x:v>
      </x:c>
      <x:c r="L202" s="34" t="str"/>
      <x:c r="M202" s="12" t="str">
        <x:v>Burn 3</x:v>
      </x:c>
      <x:c r="N202" s="12" t="str">
        <x:v>Ranged, Marking, Precise, Payoff, WeakPoint</x:v>
      </x:c>
      <x:c r="O202" s="12" t="str">
        <x:v>Deal 8 damage and 5 break damage. If this breaks a weak point, resolve Burn 3 and the harvest rider.</x:v>
      </x:c>
      <x:c r="P202" s="12" t="str">
        <x:v>Deal 8 damage and 5 break damage. If the weak point breaks, apply Burn 3 and resolve: If this breaks a weak point, improve harvest quality by one step unless it is already Clean.</x:v>
      </x:c>
      <x:c r="Q202" s="12" t="str"/>
      <x:c r="R202" s="12" t="str">
        <x:v>quirk: harvest | countsAsCounter False, firstCounterFree False</x:v>
      </x:c>
      <x:c r="S202" s="12" t="str">
        <x:v>86c6e5adfaad</x:v>
      </x:c>
      <x:c r="T202" s="12" t="n">
        <x:f>COUNTIF($S$2:$S$757,S202)</x:f>
        <x:v>1</x:v>
      </x:c>
      <x:c r="U202" s="12" t="str">
        <x:f>IF(T202=1,"OK","DUPLICATE")</x:f>
        <x:v>OK</x:v>
      </x:c>
    </x:row>
    <x:row r="203" ht="39.599998474121094" hidden="0" customHeight="1">
      <x:c r="A203" s="12" t="str">
        <x:v>Ember Drake Treads</x:v>
      </x:c>
      <x:c r="B203" s="12" t="str">
        <x:v>DRAGON BOOTS</x:v>
      </x:c>
      <x:c r="C203" s="12" t="str">
        <x:v>legs</x:v>
      </x:c>
      <x:c r="D203" s="12" t="str">
        <x:v>armor</x:v>
      </x:c>
      <x:c r="E203" s="12" t="str">
        <x:v>apex</x:v>
      </x:c>
      <x:c r="F203" s="12" t="str">
        <x:v>uncommon</x:v>
      </x:c>
      <x:c r="G203" s="12" t="str">
        <x:v>Ember Drake Treads — Brace</x:v>
      </x:c>
      <x:c r="H203" s="34" t="n">
        <x:v>1</x:v>
      </x:c>
      <x:c r="I203" s="34" t="str">
        <x:v>skill</x:v>
      </x:c>
      <x:c r="J203" s="34" t="str"/>
      <x:c r="K203" s="34" t="str"/>
      <x:c r="L203" s="34" t="n">
        <x:v>7</x:v>
      </x:c>
      <x:c r="M203" s="12" t="str"/>
      <x:c r="N203" s="12" t="str">
        <x:v>Defensive, Party, WoundCare</x:v>
      </x:c>
      <x:c r="O203" s="12" t="str">
        <x:v>Gain 7 block and Guarded 1. If hit before your next turn, reduce Burn or Panic by 1.</x:v>
      </x:c>
      <x:c r="P203" s="12" t="str">
        <x:v>Gain 7 block and Guarded 1. If the next monster hit lands before your next turn, reduce Burn or Panic by 1 after damage. If a tell is Open, add +2 to the listed damage or block value.</x:v>
      </x:c>
      <x:c r="Q203" s="12" t="str"/>
      <x:c r="R203" s="12" t="str">
        <x:v>quirk: openTell</x:v>
      </x:c>
      <x:c r="S203" s="12" t="str">
        <x:v>0d9c92d1d93c</x:v>
      </x:c>
      <x:c r="T203" s="12" t="n">
        <x:f>COUNTIF($S$2:$S$757,S203)</x:f>
        <x:v>1</x:v>
      </x:c>
      <x:c r="U203" s="12" t="str">
        <x:f>IF(T203=1,"OK","DUPLICATE")</x:f>
        <x:v>OK</x:v>
      </x:c>
    </x:row>
    <x:row r="204" ht="39.599998474121094" hidden="0" customHeight="1">
      <x:c r="A204" s="12" t="str">
        <x:v>Ember Drake Treads</x:v>
      </x:c>
      <x:c r="B204" s="12" t="str">
        <x:v>DRAGON BOOTS</x:v>
      </x:c>
      <x:c r="C204" s="12" t="str">
        <x:v>legs</x:v>
      </x:c>
      <x:c r="D204" s="12" t="str">
        <x:v>armor</x:v>
      </x:c>
      <x:c r="E204" s="12" t="str">
        <x:v>apex</x:v>
      </x:c>
      <x:c r="F204" s="12" t="str">
        <x:v>uncommon</x:v>
      </x:c>
      <x:c r="G204" s="12" t="str">
        <x:v>Ember Drake Treads — Fitted Plate</x:v>
      </x:c>
      <x:c r="H204" s="34" t="n">
        <x:v>2</x:v>
      </x:c>
      <x:c r="I204" s="34" t="str">
        <x:v>reaction</x:v>
      </x:c>
      <x:c r="J204" s="34" t="str"/>
      <x:c r="K204" s="34" t="str"/>
      <x:c r="L204" s="34" t="n">
        <x:v>8</x:v>
      </x:c>
      <x:c r="M204" s="12" t="str"/>
      <x:c r="N204" s="12" t="str">
        <x:v>Defensive, Party, WoundCare, Reaction</x:v>
      </x:c>
      <x:c r="O204" s="12" t="str">
        <x:v>After damage is previewed, prevent 8 damage. Then give the next ally Guarded 3.</x:v>
      </x:c>
      <x:c r="P204" s="12" t="str">
        <x:v>After incoming damage is previewed, prevent 8 damage with the legs slot. Then the next ally gains Guarded 3. If a tell is Open, add +2 to the listed damage or block value.</x:v>
      </x:c>
      <x:c r="Q204" s="12" t="str"/>
      <x:c r="R204" s="12" t="str">
        <x:v>quirk: openTell</x:v>
      </x:c>
      <x:c r="S204" s="12" t="str">
        <x:v>250787237e79</x:v>
      </x:c>
      <x:c r="T204" s="12" t="n">
        <x:f>COUNTIF($S$2:$S$757,S204)</x:f>
        <x:v>1</x:v>
      </x:c>
      <x:c r="U204" s="12" t="str">
        <x:f>IF(T204=1,"OK","DUPLICATE")</x:f>
        <x:v>OK</x:v>
      </x:c>
    </x:row>
    <x:row r="205" ht="39.599998474121094" hidden="0" customHeight="1">
      <x:c r="A205" s="12" t="str">
        <x:v>Ember Drake Chakram</x:v>
      </x:c>
      <x:c r="B205" s="12" t="str">
        <x:v>DRAGON CHAKRAM</x:v>
      </x:c>
      <x:c r="C205" s="12" t="str">
        <x:v>weapon</x:v>
      </x:c>
      <x:c r="D205" s="12" t="str">
        <x:v>bow</x:v>
      </x:c>
      <x:c r="E205" s="12" t="str">
        <x:v>apex</x:v>
      </x:c>
      <x:c r="F205" s="12" t="str">
        <x:v>uncommon</x:v>
      </x:c>
      <x:c r="G205" s="12" t="str">
        <x:v>Ember Drake Chakram — Opening Strike</x:v>
      </x:c>
      <x:c r="H205" s="34" t="n">
        <x:v>1</x:v>
      </x:c>
      <x:c r="I205" s="34" t="str">
        <x:v>attack</x:v>
      </x:c>
      <x:c r="J205" s="34" t="n">
        <x:v>4</x:v>
      </x:c>
      <x:c r="K205" s="34" t="n">
        <x:v>3</x:v>
      </x:c>
      <x:c r="L205" s="34" t="str"/>
      <x:c r="M205" s="12" t="str">
        <x:v>Burn 3 | Target: Dragon King</x:v>
      </x:c>
      <x:c r="N205" s="12" t="str">
        <x:v>Ranged, Marking, Precise, Attack</x:v>
      </x:c>
      <x:c r="O205" s="12" t="str">
        <x:v>Deal 4 damage. Apply Burn 3 if the target has a Dragon King weak point, otherwise gain Marked 1.</x:v>
      </x:c>
      <x:c r="P205" s="12" t="str">
        <x:v>Deal 4 damage with Ember Drake Chakram. Apply Burn 3 against a matching Dragon King weak point; otherwise apply Marked 1. Chosen ally gains Guarded 1 after this resolves.</x:v>
      </x:c>
      <x:c r="Q205" s="12" t="str"/>
      <x:c r="R205" s="12" t="str">
        <x:v>quirk: ally</x:v>
      </x:c>
      <x:c r="S205" s="12" t="str">
        <x:v>7a0319226c2e</x:v>
      </x:c>
      <x:c r="T205" s="12" t="n">
        <x:f>COUNTIF($S$2:$S$757,S205)</x:f>
        <x:v>1</x:v>
      </x:c>
      <x:c r="U205" s="12" t="str">
        <x:f>IF(T205=1,"OK","DUPLICATE")</x:f>
        <x:v>OK</x:v>
      </x:c>
    </x:row>
    <x:row r="206" ht="26.399999618530273" hidden="0" customHeight="1">
      <x:c r="A206" s="12" t="str">
        <x:v>Ember Drake Chakram</x:v>
      </x:c>
      <x:c r="B206" s="12" t="str">
        <x:v>DRAGON CHAKRAM</x:v>
      </x:c>
      <x:c r="C206" s="12" t="str">
        <x:v>weapon</x:v>
      </x:c>
      <x:c r="D206" s="12" t="str">
        <x:v>bow</x:v>
      </x:c>
      <x:c r="E206" s="12" t="str">
        <x:v>apex</x:v>
      </x:c>
      <x:c r="F206" s="12" t="str">
        <x:v>uncommon</x:v>
      </x:c>
      <x:c r="G206" s="12" t="str">
        <x:v>Ember Drake Chakram — Technique</x:v>
      </x:c>
      <x:c r="H206" s="34" t="n">
        <x:v>1</x:v>
      </x:c>
      <x:c r="I206" s="34" t="str">
        <x:v>skill</x:v>
      </x:c>
      <x:c r="J206" s="34" t="str"/>
      <x:c r="K206" s="34" t="str"/>
      <x:c r="L206" s="34" t="n">
        <x:v>4</x:v>
      </x:c>
      <x:c r="M206" s="12" t="str">
        <x:v>Opens: True</x:v>
      </x:c>
      <x:c r="N206" s="12" t="str">
        <x:v>Ranged, Marking, Precise, Setup</x:v>
      </x:c>
      <x:c r="O206" s="12" t="str">
        <x:v>Mark a wing, eye or distant weak point; ranged attacks ignore Guarded 1. Also gain 4 block.</x:v>
      </x:c>
      <x:c r="P206" s="12" t="str">
        <x:v>Mark a wing, eye or distant weak point; ranged attacks ignore Guarded 1. Gain 4 block. Chosen ally gains Guarded 1 after this resolves.</x:v>
      </x:c>
      <x:c r="Q206" s="12" t="str"/>
      <x:c r="R206" s="12" t="str">
        <x:v>quirk: ally</x:v>
      </x:c>
      <x:c r="S206" s="12" t="str">
        <x:v>4204bd592428</x:v>
      </x:c>
      <x:c r="T206" s="12" t="n">
        <x:f>COUNTIF($S$2:$S$757,S206)</x:f>
        <x:v>1</x:v>
      </x:c>
      <x:c r="U206" s="12" t="str">
        <x:f>IF(T206=1,"OK","DUPLICATE")</x:f>
        <x:v>OK</x:v>
      </x:c>
    </x:row>
    <x:row r="207" ht="26.399999618530273" hidden="0" customHeight="1">
      <x:c r="A207" s="12" t="str">
        <x:v>Ember Drake Chakram</x:v>
      </x:c>
      <x:c r="B207" s="12" t="str">
        <x:v>DRAGON CHAKRAM</x:v>
      </x:c>
      <x:c r="C207" s="12" t="str">
        <x:v>weapon</x:v>
      </x:c>
      <x:c r="D207" s="12" t="str">
        <x:v>bow</x:v>
      </x:c>
      <x:c r="E207" s="12" t="str">
        <x:v>apex</x:v>
      </x:c>
      <x:c r="F207" s="12" t="str">
        <x:v>uncommon</x:v>
      </x:c>
      <x:c r="G207" s="12" t="str">
        <x:v>Ember Drake Chakram — Payoff</x:v>
      </x:c>
      <x:c r="H207" s="34" t="n">
        <x:v>2</x:v>
      </x:c>
      <x:c r="I207" s="34" t="str">
        <x:v>attack</x:v>
      </x:c>
      <x:c r="J207" s="34" t="n">
        <x:v>6</x:v>
      </x:c>
      <x:c r="K207" s="34" t="n">
        <x:v>4</x:v>
      </x:c>
      <x:c r="L207" s="34" t="str"/>
      <x:c r="M207" s="12" t="str">
        <x:v>Burn 2</x:v>
      </x:c>
      <x:c r="N207" s="12" t="str">
        <x:v>Ranged, Marking, Precise, Payoff, WeakPoint</x:v>
      </x:c>
      <x:c r="O207" s="12" t="str">
        <x:v>Deal 6 damage and 4 break damage. If this breaks a weak point, resolve Burn 2 and the ally rider.</x:v>
      </x:c>
      <x:c r="P207" s="12" t="str">
        <x:v>Deal 6 damage and 4 break damage. If the weak point breaks, apply Burn 2 and resolve: Chosen ally gains Guarded 1 after this resolves.</x:v>
      </x:c>
      <x:c r="Q207" s="12" t="str"/>
      <x:c r="R207" s="12" t="str">
        <x:v>quirk: ally | countsAsCounter False, firstCounterFree False</x:v>
      </x:c>
      <x:c r="S207" s="12" t="str">
        <x:v>932470e4fcaa</x:v>
      </x:c>
      <x:c r="T207" s="12" t="n">
        <x:f>COUNTIF($S$2:$S$757,S207)</x:f>
        <x:v>1</x:v>
      </x:c>
      <x:c r="U207" s="12" t="str">
        <x:f>IF(T207=1,"OK","DUPLICATE")</x:f>
        <x:v>OK</x:v>
      </x:c>
    </x:row>
    <x:row r="208" ht="39.599998474121094" hidden="0" customHeight="1">
      <x:c r="A208" s="12" t="str">
        <x:v>Ember Drake Gloves</x:v>
      </x:c>
      <x:c r="B208" s="12" t="str">
        <x:v>DRAGON GLOVES</x:v>
      </x:c>
      <x:c r="C208" s="12" t="str">
        <x:v>arms</x:v>
      </x:c>
      <x:c r="D208" s="12" t="str">
        <x:v>armor</x:v>
      </x:c>
      <x:c r="E208" s="12" t="str">
        <x:v>apex</x:v>
      </x:c>
      <x:c r="F208" s="12" t="str">
        <x:v>uncommon</x:v>
      </x:c>
      <x:c r="G208" s="12" t="str">
        <x:v>Ember Drake Gloves — Brace</x:v>
      </x:c>
      <x:c r="H208" s="34" t="n">
        <x:v>1</x:v>
      </x:c>
      <x:c r="I208" s="34" t="str">
        <x:v>skill</x:v>
      </x:c>
      <x:c r="J208" s="34" t="str"/>
      <x:c r="K208" s="34" t="str"/>
      <x:c r="L208" s="34" t="n">
        <x:v>5</x:v>
      </x:c>
      <x:c r="M208" s="12" t="str"/>
      <x:c r="N208" s="12" t="str">
        <x:v>Defensive, Party, WoundCare</x:v>
      </x:c>
      <x:c r="O208" s="12" t="str">
        <x:v>Gain 5 block and Guarded 3. If hit before your next turn, reduce Burn or Panic by 1.</x:v>
      </x:c>
      <x:c r="P208" s="12" t="str">
        <x:v>Gain 5 block and Guarded 3. If the next monster hit lands before your next turn, reduce Burn or Panic by 1 after damage. On a failed harvest, keep one common fallback material.</x:v>
      </x:c>
      <x:c r="Q208" s="12" t="str"/>
      <x:c r="R208" s="12" t="str">
        <x:v>quirk: salvage</x:v>
      </x:c>
      <x:c r="S208" s="12" t="str">
        <x:v>fd9f2389a8ef</x:v>
      </x:c>
      <x:c r="T208" s="12" t="n">
        <x:f>COUNTIF($S$2:$S$757,S208)</x:f>
        <x:v>1</x:v>
      </x:c>
      <x:c r="U208" s="12" t="str">
        <x:f>IF(T208=1,"OK","DUPLICATE")</x:f>
        <x:v>OK</x:v>
      </x:c>
    </x:row>
    <x:row r="209" ht="39.599998474121094" hidden="0" customHeight="1">
      <x:c r="A209" s="12" t="str">
        <x:v>Ember Drake Gloves</x:v>
      </x:c>
      <x:c r="B209" s="12" t="str">
        <x:v>DRAGON GLOVES</x:v>
      </x:c>
      <x:c r="C209" s="12" t="str">
        <x:v>arms</x:v>
      </x:c>
      <x:c r="D209" s="12" t="str">
        <x:v>armor</x:v>
      </x:c>
      <x:c r="E209" s="12" t="str">
        <x:v>apex</x:v>
      </x:c>
      <x:c r="F209" s="12" t="str">
        <x:v>uncommon</x:v>
      </x:c>
      <x:c r="G209" s="12" t="str">
        <x:v>Ember Drake Gloves — Fitted Plate</x:v>
      </x:c>
      <x:c r="H209" s="34" t="n">
        <x:v>2</x:v>
      </x:c>
      <x:c r="I209" s="34" t="str">
        <x:v>reaction</x:v>
      </x:c>
      <x:c r="J209" s="34" t="str"/>
      <x:c r="K209" s="34" t="str"/>
      <x:c r="L209" s="34" t="n">
        <x:v>8</x:v>
      </x:c>
      <x:c r="M209" s="12" t="str"/>
      <x:c r="N209" s="12" t="str">
        <x:v>Defensive, Party, WoundCare, Reaction</x:v>
      </x:c>
      <x:c r="O209" s="12" t="str">
        <x:v>After damage is previewed, prevent 8 damage. Then give the next ally Guarded 3.</x:v>
      </x:c>
      <x:c r="P209" s="12" t="str">
        <x:v>After incoming damage is previewed, prevent 8 damage with the arms slot. Then the next ally gains Guarded 3. On a failed harvest, keep one common fallback material.</x:v>
      </x:c>
      <x:c r="Q209" s="12" t="str"/>
      <x:c r="R209" s="12" t="str">
        <x:v>quirk: salvage</x:v>
      </x:c>
      <x:c r="S209" s="12" t="str">
        <x:v>bee4d6e81e71</x:v>
      </x:c>
      <x:c r="T209" s="12" t="n">
        <x:f>COUNTIF($S$2:$S$757,S209)</x:f>
        <x:v>1</x:v>
      </x:c>
      <x:c r="U209" s="12" t="str">
        <x:f>IF(T209=1,"OK","DUPLICATE")</x:f>
        <x:v>OK</x:v>
      </x:c>
    </x:row>
    <x:row r="210" ht="39.599998474121094" hidden="0" customHeight="1">
      <x:c r="A210" s="12" t="str">
        <x:v>Ember Drake Mantle</x:v>
      </x:c>
      <x:c r="B210" s="12" t="str">
        <x:v>DRAGON MANTLE</x:v>
      </x:c>
      <x:c r="C210" s="12" t="str">
        <x:v>body</x:v>
      </x:c>
      <x:c r="D210" s="12" t="str">
        <x:v>armor</x:v>
      </x:c>
      <x:c r="E210" s="12" t="str">
        <x:v>apex</x:v>
      </x:c>
      <x:c r="F210" s="12" t="str">
        <x:v>uncommon</x:v>
      </x:c>
      <x:c r="G210" s="12" t="str">
        <x:v>Ember Drake Mantle — Brace</x:v>
      </x:c>
      <x:c r="H210" s="34" t="n">
        <x:v>1</x:v>
      </x:c>
      <x:c r="I210" s="34" t="str">
        <x:v>skill</x:v>
      </x:c>
      <x:c r="J210" s="34" t="str"/>
      <x:c r="K210" s="34" t="str"/>
      <x:c r="L210" s="34" t="n">
        <x:v>6</x:v>
      </x:c>
      <x:c r="M210" s="12" t="str"/>
      <x:c r="N210" s="12" t="str">
        <x:v>Defensive, Party, WoundCare</x:v>
      </x:c>
      <x:c r="O210" s="12" t="str">
        <x:v>Gain 6 block and Guarded 1. If hit before your next turn, reduce Burn or Panic by 1.</x:v>
      </x:c>
      <x:c r="P210" s="12" t="str">
        <x:v>Gain 6 block and Guarded 1. If the next monster hit lands before your next turn, reduce Burn or Panic by 1 after damage. If this is the only card you play this turn, gain +2 block.</x:v>
      </x:c>
      <x:c r="Q210" s="12" t="str"/>
      <x:c r="R210" s="12" t="str">
        <x:v>quirk: stance</x:v>
      </x:c>
      <x:c r="S210" s="12" t="str">
        <x:v>d3ae661d6935</x:v>
      </x:c>
      <x:c r="T210" s="12" t="n">
        <x:f>COUNTIF($S$2:$S$757,S210)</x:f>
        <x:v>1</x:v>
      </x:c>
      <x:c r="U210" s="12" t="str">
        <x:f>IF(T210=1,"OK","DUPLICATE")</x:f>
        <x:v>OK</x:v>
      </x:c>
    </x:row>
    <x:row r="211" ht="39.599998474121094" hidden="0" customHeight="1">
      <x:c r="A211" s="12" t="str">
        <x:v>Ember Drake Mantle</x:v>
      </x:c>
      <x:c r="B211" s="12" t="str">
        <x:v>DRAGON MANTLE</x:v>
      </x:c>
      <x:c r="C211" s="12" t="str">
        <x:v>body</x:v>
      </x:c>
      <x:c r="D211" s="12" t="str">
        <x:v>armor</x:v>
      </x:c>
      <x:c r="E211" s="12" t="str">
        <x:v>apex</x:v>
      </x:c>
      <x:c r="F211" s="12" t="str">
        <x:v>uncommon</x:v>
      </x:c>
      <x:c r="G211" s="12" t="str">
        <x:v>Ember Drake Mantle — Fitted Plate</x:v>
      </x:c>
      <x:c r="H211" s="34" t="n">
        <x:v>1</x:v>
      </x:c>
      <x:c r="I211" s="34" t="str">
        <x:v>reaction</x:v>
      </x:c>
      <x:c r="J211" s="34" t="str"/>
      <x:c r="K211" s="34" t="str"/>
      <x:c r="L211" s="34" t="n">
        <x:v>7</x:v>
      </x:c>
      <x:c r="M211" s="12" t="str"/>
      <x:c r="N211" s="12" t="str">
        <x:v>Defensive, Party, WoundCare, Reaction</x:v>
      </x:c>
      <x:c r="O211" s="12" t="str">
        <x:v>After damage is previewed, prevent 7 damage. Then give the next ally Guarded 3.</x:v>
      </x:c>
      <x:c r="P211" s="12" t="str">
        <x:v>After incoming damage is previewed, prevent 7 damage with the body slot. Then the next ally gains Guarded 3. If this is the only card you play this turn, gain +2 block.</x:v>
      </x:c>
      <x:c r="Q211" s="12" t="str"/>
      <x:c r="R211" s="12" t="str">
        <x:v>quirk: stance</x:v>
      </x:c>
      <x:c r="S211" s="12" t="str">
        <x:v>463402955034</x:v>
      </x:c>
      <x:c r="T211" s="12" t="n">
        <x:f>COUNTIF($S$2:$S$757,S211)</x:f>
        <x:v>1</x:v>
      </x:c>
      <x:c r="U211" s="12" t="str">
        <x:f>IF(T211=1,"OK","DUPLICATE")</x:f>
        <x:v>OK</x:v>
      </x:c>
    </x:row>
    <x:row r="212" ht="39.599998474121094" hidden="0" customHeight="1">
      <x:c r="A212" s="12" t="str">
        <x:v>Ember Drake Slayer</x:v>
      </x:c>
      <x:c r="B212" s="12" t="str">
        <x:v>DRAGON SLAYER</x:v>
      </x:c>
      <x:c r="C212" s="12" t="str">
        <x:v>weapon</x:v>
      </x:c>
      <x:c r="D212" s="12" t="str">
        <x:v>grandWeapon</x:v>
      </x:c>
      <x:c r="E212" s="12" t="str">
        <x:v>apex</x:v>
      </x:c>
      <x:c r="F212" s="12" t="str">
        <x:v>rare</x:v>
      </x:c>
      <x:c r="G212" s="12" t="str">
        <x:v>Ember Drake Slayer — Opening Strike</x:v>
      </x:c>
      <x:c r="H212" s="34" t="n">
        <x:v>2</x:v>
      </x:c>
      <x:c r="I212" s="34" t="str">
        <x:v>attack</x:v>
      </x:c>
      <x:c r="J212" s="34" t="n">
        <x:v>9</x:v>
      </x:c>
      <x:c r="K212" s="34" t="n">
        <x:v>5</x:v>
      </x:c>
      <x:c r="L212" s="34" t="str"/>
      <x:c r="M212" s="12" t="str">
        <x:v>Burn 3 | Target: Dragon King</x:v>
      </x:c>
      <x:c r="N212" s="12" t="str">
        <x:v>Heavy, Brutal, Guardbreaker, Attack</x:v>
      </x:c>
      <x:c r="O212" s="12" t="str">
        <x:v>Deal 9 damage. Apply Burn 3 if the target has a Dragon King weak point, otherwise gain Marked 1.</x:v>
      </x:c>
      <x:c r="P212" s="12" t="str">
        <x:v>Deal 9 damage with Ember Drake Slayer. Apply Burn 3 against a matching Dragon King weak point; otherwise apply Marked 1. After use, Exhaust this equipment until the next monster turn.</x:v>
      </x:c>
      <x:c r="Q212" s="12" t="str"/>
      <x:c r="R212" s="12" t="str">
        <x:v>quirk: exhaust</x:v>
      </x:c>
      <x:c r="S212" s="12" t="str">
        <x:v>694a4fabad57</x:v>
      </x:c>
      <x:c r="T212" s="12" t="n">
        <x:f>COUNTIF($S$2:$S$757,S212)</x:f>
        <x:v>1</x:v>
      </x:c>
      <x:c r="U212" s="12" t="str">
        <x:f>IF(T212=1,"OK","DUPLICATE")</x:f>
        <x:v>OK</x:v>
      </x:c>
    </x:row>
    <x:row r="213" ht="26.399999618530273" hidden="0" customHeight="1">
      <x:c r="A213" s="12" t="str">
        <x:v>Ember Drake Slayer</x:v>
      </x:c>
      <x:c r="B213" s="12" t="str">
        <x:v>DRAGON SLAYER</x:v>
      </x:c>
      <x:c r="C213" s="12" t="str">
        <x:v>weapon</x:v>
      </x:c>
      <x:c r="D213" s="12" t="str">
        <x:v>grandWeapon</x:v>
      </x:c>
      <x:c r="E213" s="12" t="str">
        <x:v>apex</x:v>
      </x:c>
      <x:c r="F213" s="12" t="str">
        <x:v>rare</x:v>
      </x:c>
      <x:c r="G213" s="12" t="str">
        <x:v>Ember Drake Slayer — Technique</x:v>
      </x:c>
      <x:c r="H213" s="34" t="n">
        <x:v>3</x:v>
      </x:c>
      <x:c r="I213" s="34" t="str">
        <x:v>skill</x:v>
      </x:c>
      <x:c r="J213" s="34" t="str"/>
      <x:c r="K213" s="34" t="str"/>
      <x:c r="L213" s="34" t="n">
        <x:v>5</x:v>
      </x:c>
      <x:c r="M213" s="12" t="str">
        <x:v>Opens: True</x:v>
      </x:c>
      <x:c r="N213" s="12" t="str">
        <x:v>Heavy, Brutal, Guardbreaker, Setup</x:v>
      </x:c>
      <x:c r="O213" s="12" t="str">
        <x:v>Brace and telegraph; next hit gains Stagger and +2 break damage. Also gain 5 block.</x:v>
      </x:c>
      <x:c r="P213" s="12" t="str">
        <x:v>Brace and telegraph; next hit gains Stagger and +2 break damage. Gain 5 block. After use, Exhaust this equipment until the next monster turn.</x:v>
      </x:c>
      <x:c r="Q213" s="12" t="str"/>
      <x:c r="R213" s="12" t="str">
        <x:v>quirk: exhaust</x:v>
      </x:c>
      <x:c r="S213" s="12" t="str">
        <x:v>4b22f3f05f1f</x:v>
      </x:c>
      <x:c r="T213" s="12" t="n">
        <x:f>COUNTIF($S$2:$S$757,S213)</x:f>
        <x:v>1</x:v>
      </x:c>
      <x:c r="U213" s="12" t="str">
        <x:f>IF(T213=1,"OK","DUPLICATE")</x:f>
        <x:v>OK</x:v>
      </x:c>
    </x:row>
    <x:row r="214" ht="26.399999618530273" hidden="0" customHeight="1">
      <x:c r="A214" s="12" t="str">
        <x:v>Ember Drake Slayer</x:v>
      </x:c>
      <x:c r="B214" s="12" t="str">
        <x:v>DRAGON SLAYER</x:v>
      </x:c>
      <x:c r="C214" s="12" t="str">
        <x:v>weapon</x:v>
      </x:c>
      <x:c r="D214" s="12" t="str">
        <x:v>grandWeapon</x:v>
      </x:c>
      <x:c r="E214" s="12" t="str">
        <x:v>apex</x:v>
      </x:c>
      <x:c r="F214" s="12" t="str">
        <x:v>rare</x:v>
      </x:c>
      <x:c r="G214" s="12" t="str">
        <x:v>Ember Drake Slayer — Payoff</x:v>
      </x:c>
      <x:c r="H214" s="34" t="n">
        <x:v>3</x:v>
      </x:c>
      <x:c r="I214" s="34" t="str">
        <x:v>attack</x:v>
      </x:c>
      <x:c r="J214" s="34" t="n">
        <x:v>14</x:v>
      </x:c>
      <x:c r="K214" s="34" t="n">
        <x:v>6</x:v>
      </x:c>
      <x:c r="L214" s="34" t="str"/>
      <x:c r="M214" s="12" t="str">
        <x:v>Burn 2</x:v>
      </x:c>
      <x:c r="N214" s="12" t="str">
        <x:v>Heavy, Brutal, Guardbreaker, Payoff, WeakPoint</x:v>
      </x:c>
      <x:c r="O214" s="12" t="str">
        <x:v>Deal 14 damage and 6 break damage. If this breaks a weak point, resolve Burn 2 and the exhaust rider.</x:v>
      </x:c>
      <x:c r="P214" s="12" t="str">
        <x:v>Deal 14 damage and 6 break damage. If the weak point breaks, apply Burn 2 and resolve: After use, Exhaust this equipment until the next monster turn.</x:v>
      </x:c>
      <x:c r="Q214" s="12" t="str"/>
      <x:c r="R214" s="12" t="str">
        <x:v>quirk: exhaust | countsAsCounter False, firstCounterFree False</x:v>
      </x:c>
      <x:c r="S214" s="12" t="str">
        <x:v>73edb5766249</x:v>
      </x:c>
      <x:c r="T214" s="12" t="n">
        <x:f>COUNTIF($S$2:$S$757,S214)</x:f>
        <x:v>1</x:v>
      </x:c>
      <x:c r="U214" s="12" t="str">
        <x:f>IF(T214=1,"OK","DUPLICATE")</x:f>
        <x:v>OK</x:v>
      </x:c>
    </x:row>
    <x:row r="215" ht="39.599998474121094" hidden="0" customHeight="1">
      <x:c r="A215" s="12" t="str">
        <x:v>Ember Drake Slayer (Broken)</x:v>
      </x:c>
      <x:c r="B215" s="12" t="str">
        <x:v>DRAGON SLAYER (BROKEN)</x:v>
      </x:c>
      <x:c r="C215" s="12" t="str">
        <x:v>weapon</x:v>
      </x:c>
      <x:c r="D215" s="12" t="str">
        <x:v>grandWeapon</x:v>
      </x:c>
      <x:c r="E215" s="12" t="str">
        <x:v>apex</x:v>
      </x:c>
      <x:c r="F215" s="12" t="str">
        <x:v>rare</x:v>
      </x:c>
      <x:c r="G215" s="12" t="str">
        <x:v>Ember Drake Slayer (Broken) — Opening Strike</x:v>
      </x:c>
      <x:c r="H215" s="34" t="n">
        <x:v>3</x:v>
      </x:c>
      <x:c r="I215" s="34" t="str">
        <x:v>attack</x:v>
      </x:c>
      <x:c r="J215" s="34" t="n">
        <x:v>7</x:v>
      </x:c>
      <x:c r="K215" s="34" t="n">
        <x:v>5</x:v>
      </x:c>
      <x:c r="L215" s="34" t="str"/>
      <x:c r="M215" s="12" t="str">
        <x:v>Burn 4 | Target: Dragon King</x:v>
      </x:c>
      <x:c r="N215" s="12" t="str">
        <x:v>Heavy, Brutal, Guardbreaker, Attack</x:v>
      </x:c>
      <x:c r="O215" s="12" t="str">
        <x:v>Deal 7 damage. Apply Burn 4 if the target has a Dragon King weak point, otherwise gain Marked 1.</x:v>
      </x:c>
      <x:c r="P215" s="12" t="str">
        <x:v>Deal 7 damage with Ember Drake Slayer (Broken). Apply Burn 4 against a matching Dragon King weak point; otherwise apply Marked 1. On a failed harvest, keep one common fallback material.</x:v>
      </x:c>
      <x:c r="Q215" s="12" t="str"/>
      <x:c r="R215" s="12" t="str">
        <x:v>quirk: salvage</x:v>
      </x:c>
      <x:c r="S215" s="12" t="str">
        <x:v>8da92a4f9862</x:v>
      </x:c>
      <x:c r="T215" s="12" t="n">
        <x:f>COUNTIF($S$2:$S$757,S215)</x:f>
        <x:v>1</x:v>
      </x:c>
      <x:c r="U215" s="12" t="str">
        <x:f>IF(T215=1,"OK","DUPLICATE")</x:f>
        <x:v>OK</x:v>
      </x:c>
    </x:row>
    <x:row r="216" ht="26.399999618530273" hidden="0" customHeight="1">
      <x:c r="A216" s="12" t="str">
        <x:v>Ember Drake Slayer (Broken)</x:v>
      </x:c>
      <x:c r="B216" s="12" t="str">
        <x:v>DRAGON SLAYER (BROKEN)</x:v>
      </x:c>
      <x:c r="C216" s="12" t="str">
        <x:v>weapon</x:v>
      </x:c>
      <x:c r="D216" s="12" t="str">
        <x:v>grandWeapon</x:v>
      </x:c>
      <x:c r="E216" s="12" t="str">
        <x:v>apex</x:v>
      </x:c>
      <x:c r="F216" s="12" t="str">
        <x:v>rare</x:v>
      </x:c>
      <x:c r="G216" s="12" t="str">
        <x:v>Ember Drake Slayer (Broken) — Technique</x:v>
      </x:c>
      <x:c r="H216" s="34" t="n">
        <x:v>2</x:v>
      </x:c>
      <x:c r="I216" s="34" t="str">
        <x:v>skill</x:v>
      </x:c>
      <x:c r="J216" s="34" t="str"/>
      <x:c r="K216" s="34" t="str"/>
      <x:c r="L216" s="34" t="n">
        <x:v>6</x:v>
      </x:c>
      <x:c r="M216" s="12" t="str">
        <x:v>Opens: True</x:v>
      </x:c>
      <x:c r="N216" s="12" t="str">
        <x:v>Heavy, Brutal, Guardbreaker, Setup</x:v>
      </x:c>
      <x:c r="O216" s="12" t="str">
        <x:v>Brace and telegraph; next hit gains Stagger and +2 break damage. Also gain 6 block.</x:v>
      </x:c>
      <x:c r="P216" s="12" t="str">
        <x:v>Brace and telegraph; next hit gains Stagger and +2 break damage. Gain 6 block. On a failed harvest, keep one common fallback material.</x:v>
      </x:c>
      <x:c r="Q216" s="12" t="str"/>
      <x:c r="R216" s="12" t="str">
        <x:v>quirk: salvage</x:v>
      </x:c>
      <x:c r="S216" s="12" t="str">
        <x:v>018716ad47b5</x:v>
      </x:c>
      <x:c r="T216" s="12" t="n">
        <x:f>COUNTIF($S$2:$S$757,S216)</x:f>
        <x:v>1</x:v>
      </x:c>
      <x:c r="U216" s="12" t="str">
        <x:f>IF(T216=1,"OK","DUPLICATE")</x:f>
        <x:v>OK</x:v>
      </x:c>
    </x:row>
    <x:row r="217" ht="26.399999618530273" hidden="0" customHeight="1">
      <x:c r="A217" s="12" t="str">
        <x:v>Ember Drake Slayer (Broken)</x:v>
      </x:c>
      <x:c r="B217" s="12" t="str">
        <x:v>DRAGON SLAYER (BROKEN)</x:v>
      </x:c>
      <x:c r="C217" s="12" t="str">
        <x:v>weapon</x:v>
      </x:c>
      <x:c r="D217" s="12" t="str">
        <x:v>grandWeapon</x:v>
      </x:c>
      <x:c r="E217" s="12" t="str">
        <x:v>apex</x:v>
      </x:c>
      <x:c r="F217" s="12" t="str">
        <x:v>rare</x:v>
      </x:c>
      <x:c r="G217" s="12" t="str">
        <x:v>Ember Drake Slayer (Broken) — Payoff</x:v>
      </x:c>
      <x:c r="H217" s="34" t="n">
        <x:v>4</x:v>
      </x:c>
      <x:c r="I217" s="34" t="str">
        <x:v>attack</x:v>
      </x:c>
      <x:c r="J217" s="34" t="n">
        <x:v>10</x:v>
      </x:c>
      <x:c r="K217" s="34" t="n">
        <x:v>6</x:v>
      </x:c>
      <x:c r="L217" s="34" t="str"/>
      <x:c r="M217" s="12" t="str">
        <x:v>Burn 3</x:v>
      </x:c>
      <x:c r="N217" s="12" t="str">
        <x:v>Heavy, Brutal, Guardbreaker, Payoff, WeakPoint</x:v>
      </x:c>
      <x:c r="O217" s="12" t="str">
        <x:v>Deal 10 damage and 6 break damage. If this breaks a weak point, resolve Burn 3 and the salvage rider.</x:v>
      </x:c>
      <x:c r="P217" s="12" t="str">
        <x:v>Deal 10 damage and 6 break damage. If the weak point breaks, apply Burn 3 and resolve: On a failed harvest, keep one common fallback material.</x:v>
      </x:c>
      <x:c r="Q217" s="12" t="str"/>
      <x:c r="R217" s="12" t="str">
        <x:v>quirk: salvage | countsAsCounter False, firstCounterFree False</x:v>
      </x:c>
      <x:c r="S217" s="12" t="str">
        <x:v>c3188cfe440d</x:v>
      </x:c>
      <x:c r="T217" s="12" t="n">
        <x:f>COUNTIF($S$2:$S$757,S217)</x:f>
        <x:v>1</x:v>
      </x:c>
      <x:c r="U217" s="12" t="str">
        <x:f>IF(T217=1,"OK","DUPLICATE")</x:f>
        <x:v>OK</x:v>
      </x:c>
    </x:row>
    <x:row r="218" ht="39.599998474121094" hidden="0" customHeight="1">
      <x:c r="A218" s="12" t="str">
        <x:v>Ember Drake Skull Crown</x:v>
      </x:c>
      <x:c r="B218" s="12" t="str">
        <x:v>DRAGONSKULL HELM</x:v>
      </x:c>
      <x:c r="C218" s="12" t="str">
        <x:v>head</x:v>
      </x:c>
      <x:c r="D218" s="12" t="str">
        <x:v>armor</x:v>
      </x:c>
      <x:c r="E218" s="12" t="str">
        <x:v>apex</x:v>
      </x:c>
      <x:c r="F218" s="12" t="str">
        <x:v>uncommon</x:v>
      </x:c>
      <x:c r="G218" s="12" t="str">
        <x:v>Ember Drake Skull Crown — Brace</x:v>
      </x:c>
      <x:c r="H218" s="34" t="n">
        <x:v>1</x:v>
      </x:c>
      <x:c r="I218" s="34" t="str">
        <x:v>skill</x:v>
      </x:c>
      <x:c r="J218" s="34" t="str"/>
      <x:c r="K218" s="34" t="str"/>
      <x:c r="L218" s="34" t="n">
        <x:v>5</x:v>
      </x:c>
      <x:c r="M218" s="12" t="str"/>
      <x:c r="N218" s="12" t="str">
        <x:v>Defensive, Party, WoundCare</x:v>
      </x:c>
      <x:c r="O218" s="12" t="str">
        <x:v>Gain 5 block and Guarded 1. If hit before your next turn, reduce Burn or Panic by 1.</x:v>
      </x:c>
      <x:c r="P218" s="12" t="str">
        <x:v>Gain 5 block and Guarded 1. If the next monster hit lands before your next turn, reduce Burn or Panic by 1 after damage. If you deal no HP damage, gain +2 break damage.</x:v>
      </x:c>
      <x:c r="Q218" s="12" t="str"/>
      <x:c r="R218" s="12" t="str">
        <x:v>quirk: careful</x:v>
      </x:c>
      <x:c r="S218" s="12" t="str">
        <x:v>eca8d25daa3b</x:v>
      </x:c>
      <x:c r="T218" s="12" t="n">
        <x:f>COUNTIF($S$2:$S$757,S218)</x:f>
        <x:v>1</x:v>
      </x:c>
      <x:c r="U218" s="12" t="str">
        <x:f>IF(T218=1,"OK","DUPLICATE")</x:f>
        <x:v>OK</x:v>
      </x:c>
    </x:row>
    <x:row r="219" ht="26.399999618530273" hidden="0" customHeight="1">
      <x:c r="A219" s="12" t="str">
        <x:v>Ember Drake Skull Crown</x:v>
      </x:c>
      <x:c r="B219" s="12" t="str">
        <x:v>DRAGONSKULL HELM</x:v>
      </x:c>
      <x:c r="C219" s="12" t="str">
        <x:v>head</x:v>
      </x:c>
      <x:c r="D219" s="12" t="str">
        <x:v>armor</x:v>
      </x:c>
      <x:c r="E219" s="12" t="str">
        <x:v>apex</x:v>
      </x:c>
      <x:c r="F219" s="12" t="str">
        <x:v>uncommon</x:v>
      </x:c>
      <x:c r="G219" s="12" t="str">
        <x:v>Ember Drake Skull Crown — Fitted Plate</x:v>
      </x:c>
      <x:c r="H219" s="34" t="n">
        <x:v>2</x:v>
      </x:c>
      <x:c r="I219" s="34" t="str">
        <x:v>reaction</x:v>
      </x:c>
      <x:c r="J219" s="34" t="str"/>
      <x:c r="K219" s="34" t="str"/>
      <x:c r="L219" s="34" t="n">
        <x:v>6</x:v>
      </x:c>
      <x:c r="M219" s="12" t="str"/>
      <x:c r="N219" s="12" t="str">
        <x:v>Defensive, Party, WoundCare, Reaction</x:v>
      </x:c>
      <x:c r="O219" s="12" t="str">
        <x:v>After damage is previewed, prevent 6 damage. Then give the next ally Guarded 3.</x:v>
      </x:c>
      <x:c r="P219" s="12" t="str">
        <x:v>After incoming damage is previewed, prevent 6 damage with the head slot. Then the next ally gains Guarded 3. If you deal no HP damage, gain +2 break damage.</x:v>
      </x:c>
      <x:c r="Q219" s="12" t="str"/>
      <x:c r="R219" s="12" t="str">
        <x:v>quirk: careful</x:v>
      </x:c>
      <x:c r="S219" s="12" t="str">
        <x:v>95b868785a59</x:v>
      </x:c>
      <x:c r="T219" s="12" t="n">
        <x:f>COUNTIF($S$2:$S$757,S219)</x:f>
        <x:v>1</x:v>
      </x:c>
      <x:c r="U219" s="12" t="str">
        <x:f>IF(T219=1,"OK","DUPLICATE")</x:f>
        <x:v>OK</x:v>
      </x:c>
    </x:row>
    <x:row r="220" ht="39.599998474121094" hidden="0" customHeight="1">
      <x:c r="A220" s="12" t="str">
        <x:v>Dried Acanthus</x:v>
      </x:c>
      <x:c r="B220" s="12" t="str">
        <x:v>DRIED ACANTHUS</x:v>
      </x:c>
      <x:c r="C220" s="12" t="str">
        <x:v>tool</x:v>
      </x:c>
      <x:c r="D220" s="12" t="str">
        <x:v>consumable</x:v>
      </x:c>
      <x:c r="E220" s="12" t="str">
        <x:v>early</x:v>
      </x:c>
      <x:c r="F220" s="12" t="str">
        <x:v>common</x:v>
      </x:c>
      <x:c r="G220" s="12" t="str">
        <x:v>Dried Acanthus — Use</x:v>
      </x:c>
      <x:c r="H220" s="34" t="n">
        <x:v>0</x:v>
      </x:c>
      <x:c r="I220" s="34" t="str">
        <x:v>skill</x:v>
      </x:c>
      <x:c r="J220" s="34" t="str"/>
      <x:c r="K220" s="34" t="str"/>
      <x:c r="L220" s="34" t="str"/>
      <x:c r="M220" s="12" t="str">
        <x:v>Shock 1</x:v>
      </x:c>
      <x:c r="N220" s="12" t="str">
        <x:v>Tool, Survival, Retreat</x:v>
      </x:c>
      <x:c r="O220" s="12" t="str">
        <x:v>Gain +2 to the next harvest, retreat, or weak-point test. If it fails, apply Shock 1 to the quarry or clear it from a survivor.</x:v>
      </x:c>
      <x:c r="P220" s="12" t="str">
        <x:v>Gain +2 to the next harvest, retreat, or weak-point test linked to Organ Grinder. On failure, either apply Shock 1 to the quarry or clear that status from a survivor. If the quarry is Marked, draw 1 then discard 1.</x:v>
      </x:c>
      <x:c r="Q220" s="12" t="str"/>
      <x:c r="R220" s="12" t="str">
        <x:v>quirk: marked</x:v>
      </x:c>
      <x:c r="S220" s="12" t="str">
        <x:v>a7540b9648af</x:v>
      </x:c>
      <x:c r="T220" s="12" t="n">
        <x:f>COUNTIF($S$2:$S$757,S220)</x:f>
        <x:v>1</x:v>
      </x:c>
      <x:c r="U220" s="12" t="str">
        <x:f>IF(T220=1,"OK","DUPLICATE")</x:f>
        <x:v>OK</x:v>
      </x:c>
    </x:row>
    <x:row r="221" ht="39.599998474121094" hidden="0" customHeight="1">
      <x:c r="A221" s="12" t="str">
        <x:v>Dried Acanthus</x:v>
      </x:c>
      <x:c r="B221" s="12" t="str">
        <x:v>DRIED ACANTHUS</x:v>
      </x:c>
      <x:c r="C221" s="12" t="str">
        <x:v>tool</x:v>
      </x:c>
      <x:c r="D221" s="12" t="str">
        <x:v>consumable</x:v>
      </x:c>
      <x:c r="E221" s="12" t="str">
        <x:v>early</x:v>
      </x:c>
      <x:c r="F221" s="12" t="str">
        <x:v>common</x:v>
      </x:c>
      <x:c r="G221" s="12" t="str">
        <x:v>Dried Acanthus — Contingency</x:v>
      </x:c>
      <x:c r="H221" s="34" t="n">
        <x:v>1</x:v>
      </x:c>
      <x:c r="I221" s="34" t="str">
        <x:v>reaction</x:v>
      </x:c>
      <x:c r="J221" s="34" t="str"/>
      <x:c r="K221" s="34" t="str"/>
      <x:c r="L221" s="34" t="str"/>
      <x:c r="M221" s="12" t="str"/>
      <x:c r="N221" s="12" t="str">
        <x:v>Tool, Survival, Retreat</x:v>
      </x:c>
      <x:c r="O221" s="12" t="str">
        <x:v>When a hunt or monster consequence is previewed, reduce it by 2; on retreat, preserve 1 gathered resource.</x:v>
      </x:c>
      <x:c r="P221" s="12" t="str">
        <x:v>When a hunt event, retreat roll, or monster consequence is previewed, reduce the penalty by 2. If retreating, preserve 1 gathered resource. If the quarry is Marked, draw 1 then discard 1.</x:v>
      </x:c>
      <x:c r="Q221" s="12" t="str"/>
      <x:c r="R221" s="12" t="str">
        <x:v>quirk: marked</x:v>
      </x:c>
      <x:c r="S221" s="12" t="str">
        <x:v>ac1eaf43b662</x:v>
      </x:c>
      <x:c r="T221" s="12" t="n">
        <x:f>COUNTIF($S$2:$S$757,S221)</x:f>
        <x:v>1</x:v>
      </x:c>
      <x:c r="U221" s="12" t="str">
        <x:f>IF(T221=1,"OK","DUPLICATE")</x:f>
        <x:v>OK</x:v>
      </x:c>
    </x:row>
    <x:row r="222" ht="52.79999923706055" hidden="0" customHeight="1">
      <x:c r="A222" s="12" t="str">
        <x:v>Elder Earrings</x:v>
      </x:c>
      <x:c r="B222" s="12" t="str">
        <x:v>ELDER EARRINGS</x:v>
      </x:c>
      <x:c r="C222" s="12" t="str">
        <x:v>charm</x:v>
      </x:c>
      <x:c r="D222" s="12" t="str">
        <x:v>charm</x:v>
      </x:c>
      <x:c r="E222" s="12" t="str">
        <x:v>mid</x:v>
      </x:c>
      <x:c r="F222" s="12" t="str">
        <x:v>uncommon</x:v>
      </x:c>
      <x:c r="G222" s="12" t="str">
        <x:v>Elder Earrings — Omen</x:v>
      </x:c>
      <x:c r="H222" s="34" t="n">
        <x:v>0</x:v>
      </x:c>
      <x:c r="I222" s="34" t="str">
        <x:v>skill</x:v>
      </x:c>
      <x:c r="J222" s="34" t="str"/>
      <x:c r="K222" s="34" t="str"/>
      <x:c r="L222" s="34" t="str"/>
      <x:c r="M222" s="12" t="str"/>
      <x:c r="N222" s="12" t="str">
        <x:v>Charm, Passive, Survival</x:v>
      </x:c>
      <x:c r="O222" s="12" t="str">
        <x:v>Peek at the next quarry card or weak-point reward. You may mark it; if you do, gain Panic 1; After this resolves, one adjacent ally gains Guarded 1.</x:v>
      </x:c>
      <x:c r="P222" s="12" t="str">
        <x:v>Peek at the next quarry AI, hit-location or weak-point reward, depending on screen. You may mark it. If marked, gain Panic 1. If you already played an attack this turn, add +1 damage or +1 block. After this resolves, one adjacent ally gains Guarded 1.</x:v>
      </x:c>
      <x:c r="Q222" s="12" t="str"/>
      <x:c r="R222" s="12" t="str">
        <x:v>quirk: followUp+guardedAlly | uniqueRider:guardedAlly</x:v>
      </x:c>
      <x:c r="S222" s="12" t="str">
        <x:v>5be583ad046e</x:v>
      </x:c>
      <x:c r="T222" s="12" t="n">
        <x:f>COUNTIF($S$2:$S$757,S222)</x:f>
        <x:v>1</x:v>
      </x:c>
      <x:c r="U222" s="12" t="str">
        <x:f>IF(T222=1,"OK","DUPLICATE")</x:f>
        <x:v>OK</x:v>
      </x:c>
    </x:row>
    <x:row r="223" ht="39.599998474121094" hidden="0" customHeight="1">
      <x:c r="A223" s="12" t="str">
        <x:v>Elder Earrings</x:v>
      </x:c>
      <x:c r="B223" s="12" t="str">
        <x:v>ELDER EARRINGS</x:v>
      </x:c>
      <x:c r="C223" s="12" t="str">
        <x:v>charm</x:v>
      </x:c>
      <x:c r="D223" s="12" t="str">
        <x:v>charm</x:v>
      </x:c>
      <x:c r="E223" s="12" t="str">
        <x:v>mid</x:v>
      </x:c>
      <x:c r="F223" s="12" t="str">
        <x:v>uncommon</x:v>
      </x:c>
      <x:c r="G223" s="12" t="str">
        <x:v>Elder Earrings — Glimmer</x:v>
      </x:c>
      <x:c r="H223" s="34" t="n">
        <x:v>0</x:v>
      </x:c>
      <x:c r="I223" s="34" t="str">
        <x:v>reaction</x:v>
      </x:c>
      <x:c r="J223" s="34" t="str"/>
      <x:c r="K223" s="34" t="str"/>
      <x:c r="L223" s="34" t="str"/>
      <x:c r="M223" s="12" t="str"/>
      <x:c r="N223" s="12" t="str">
        <x:v>Charm, Passive, Survival</x:v>
      </x:c>
      <x:c r="O223" s="12" t="str">
        <x:v>When Snared or a hunt consequence would affect you, reduce it by 4; exhaust this charm.</x:v>
      </x:c>
      <x:c r="P223" s="12" t="str">
        <x:v>When Snared, Panic, or a hunt consequence would affect this survivor, reduce it by 4; exhaust this charm until the next settlement phase. If you already played an attack this turn, add +1 damage or +1 block.</x:v>
      </x:c>
      <x:c r="Q223" s="12" t="str"/>
      <x:c r="R223" s="12" t="str">
        <x:v>quirk: followUp</x:v>
      </x:c>
      <x:c r="S223" s="12" t="str">
        <x:v>38c6a1c524c9</x:v>
      </x:c>
      <x:c r="T223" s="12" t="n">
        <x:f>COUNTIF($S$2:$S$757,S223)</x:f>
        <x:v>1</x:v>
      </x:c>
      <x:c r="U223" s="12" t="str">
        <x:f>IF(T223=1,"OK","DUPLICATE")</x:f>
        <x:v>OK</x:v>
      </x:c>
    </x:row>
    <x:row r="224" ht="39.599998474121094" hidden="0" customHeight="1">
      <x:c r="A224" s="12" t="str">
        <x:v>Elder Fang Knife</x:v>
      </x:c>
      <x:c r="B224" s="12" t="str">
        <x:v>ELDER FANG KNIFE</x:v>
      </x:c>
      <x:c r="C224" s="12" t="str">
        <x:v>weapon</x:v>
      </x:c>
      <x:c r="D224" s="12" t="str">
        <x:v>dagger</x:v>
      </x:c>
      <x:c r="E224" s="12" t="str">
        <x:v>early</x:v>
      </x:c>
      <x:c r="F224" s="12" t="str">
        <x:v>uncommon</x:v>
      </x:c>
      <x:c r="G224" s="12" t="str">
        <x:v>Elder Fang Knife — Opening Cut</x:v>
      </x:c>
      <x:c r="H224" s="34" t="n">
        <x:v>0</x:v>
      </x:c>
      <x:c r="I224" s="34" t="str">
        <x:v>attack</x:v>
      </x:c>
      <x:c r="J224" s="34" t="n">
        <x:v>2</x:v>
      </x:c>
      <x:c r="K224" s="34" t="n">
        <x:v>0</x:v>
      </x:c>
      <x:c r="L224" s="34" t="str"/>
      <x:c r="M224" s="12" t="str">
        <x:v>Bleed 1 | Target: White Lion</x:v>
      </x:c>
      <x:c r="N224" s="12" t="str">
        <x:v>Quick, Precise, Harvest, Attack</x:v>
      </x:c>
      <x:c r="O224" s="12" t="str">
        <x:v>Deal 2 damage. Apply Bleed 1 if the target has a White Lion weak point, otherwise gain Marked 1.</x:v>
      </x:c>
      <x:c r="P224" s="12" t="str">
        <x:v>Deal 2 damage with Elder Fang Knife. Apply Bleed 1 against a matching White Lion weak point; otherwise apply Marked 1. If you deal no HP damage, gain +2 break damage.</x:v>
      </x:c>
      <x:c r="Q224" s="12" t="str"/>
      <x:c r="R224" s="12" t="str">
        <x:v>quirk: careful</x:v>
      </x:c>
      <x:c r="S224" s="12" t="str">
        <x:v>42dfb1add11c</x:v>
      </x:c>
      <x:c r="T224" s="12" t="n">
        <x:f>COUNTIF($S$2:$S$757,S224)</x:f>
        <x:v>1</x:v>
      </x:c>
      <x:c r="U224" s="12" t="str">
        <x:f>IF(T224=1,"OK","DUPLICATE")</x:f>
        <x:v>OK</x:v>
      </x:c>
    </x:row>
    <x:row r="225" ht="26.399999618530273" hidden="0" customHeight="1">
      <x:c r="A225" s="12" t="str">
        <x:v>Elder Fang Knife</x:v>
      </x:c>
      <x:c r="B225" s="12" t="str">
        <x:v>ELDER FANG KNIFE</x:v>
      </x:c>
      <x:c r="C225" s="12" t="str">
        <x:v>weapon</x:v>
      </x:c>
      <x:c r="D225" s="12" t="str">
        <x:v>dagger</x:v>
      </x:c>
      <x:c r="E225" s="12" t="str">
        <x:v>early</x:v>
      </x:c>
      <x:c r="F225" s="12" t="str">
        <x:v>uncommon</x:v>
      </x:c>
      <x:c r="G225" s="12" t="str">
        <x:v>Elder Fang Knife — Technique</x:v>
      </x:c>
      <x:c r="H225" s="34" t="n">
        <x:v>1</x:v>
      </x:c>
      <x:c r="I225" s="34" t="str">
        <x:v>skill</x:v>
      </x:c>
      <x:c r="J225" s="34" t="str"/>
      <x:c r="K225" s="34" t="str"/>
      <x:c r="L225" s="34" t="n">
        <x:v>2</x:v>
      </x:c>
      <x:c r="M225" s="12" t="str">
        <x:v>Opens: True</x:v>
      </x:c>
      <x:c r="N225" s="12" t="str">
        <x:v>Quick, Precise, Harvest, Setup</x:v>
      </x:c>
      <x:c r="O225" s="12" t="str">
        <x:v>Expose a fragile weak point; next knife attack gains +2 break damage. Also gain 2 block.</x:v>
      </x:c>
      <x:c r="P225" s="12" t="str">
        <x:v>Expose a fragile weak point; next knife attack gains +2 break damage. gain 2 block. If you deal no HP damage, gain +2 break damage.</x:v>
      </x:c>
      <x:c r="Q225" s="12" t="str"/>
      <x:c r="R225" s="12" t="str">
        <x:v>quirk: careful</x:v>
      </x:c>
      <x:c r="S225" s="12" t="str">
        <x:v>2421ad1a52bf</x:v>
      </x:c>
      <x:c r="T225" s="12" t="n">
        <x:f>COUNTIF($S$2:$S$757,S225)</x:f>
        <x:v>1</x:v>
      </x:c>
      <x:c r="U225" s="12" t="str">
        <x:f>IF(T225=1,"OK","DUPLICATE")</x:f>
        <x:v>OK</x:v>
      </x:c>
    </x:row>
    <x:row r="226" ht="26.399999618530273" hidden="0" customHeight="1">
      <x:c r="A226" s="12" t="str">
        <x:v>Elder Fang Knife</x:v>
      </x:c>
      <x:c r="B226" s="12" t="str">
        <x:v>ELDER FANG KNIFE</x:v>
      </x:c>
      <x:c r="C226" s="12" t="str">
        <x:v>weapon</x:v>
      </x:c>
      <x:c r="D226" s="12" t="str">
        <x:v>dagger</x:v>
      </x:c>
      <x:c r="E226" s="12" t="str">
        <x:v>early</x:v>
      </x:c>
      <x:c r="F226" s="12" t="str">
        <x:v>uncommon</x:v>
      </x:c>
      <x:c r="G226" s="12" t="str">
        <x:v>Elder Fang Knife — Payoff</x:v>
      </x:c>
      <x:c r="H226" s="34" t="n">
        <x:v>2</x:v>
      </x:c>
      <x:c r="I226" s="34" t="str">
        <x:v>attack</x:v>
      </x:c>
      <x:c r="J226" s="34" t="n">
        <x:v>4</x:v>
      </x:c>
      <x:c r="K226" s="34" t="n">
        <x:v>1</x:v>
      </x:c>
      <x:c r="L226" s="34" t="str"/>
      <x:c r="M226" s="12" t="str">
        <x:v>Bleed 1</x:v>
      </x:c>
      <x:c r="N226" s="12" t="str">
        <x:v>Quick, Precise, Harvest, Payoff, WeakPoint</x:v>
      </x:c>
      <x:c r="O226" s="12" t="str">
        <x:v>Deal 4 damage and 1 break damage. If this breaks a weak point, resolve Bleed 1 and the careful rider.</x:v>
      </x:c>
      <x:c r="P226" s="12" t="str">
        <x:v>Deal 4 damage and 1 break damage. If the weak point breaks, apply Bleed 1 and resolve: If you deal no HP damage, gain +2 break damage.</x:v>
      </x:c>
      <x:c r="Q226" s="12" t="str"/>
      <x:c r="R226" s="12" t="str">
        <x:v>quirk: careful | countsAsCounter False, firstCounterFree False</x:v>
      </x:c>
      <x:c r="S226" s="12" t="str">
        <x:v>4460f42e2557</x:v>
      </x:c>
      <x:c r="T226" s="12" t="n">
        <x:f>COUNTIF($S$2:$S$757,S226)</x:f>
        <x:v>1</x:v>
      </x:c>
      <x:c r="U226" s="12" t="str">
        <x:f>IF(T226=1,"OK","DUPLICATE")</x:f>
        <x:v>OK</x:v>
      </x:c>
    </x:row>
    <x:row r="227" ht="52.79999923706055" hidden="0" customHeight="1">
      <x:c r="A227" s="12" t="str">
        <x:v>Eventide (Hunt Phase)</x:v>
      </x:c>
      <x:c r="B227" s="12" t="str">
        <x:v>EVENTIDE (HUNT PHASE)</x:v>
      </x:c>
      <x:c r="C227" s="12" t="str">
        <x:v>tool</x:v>
      </x:c>
      <x:c r="D227" s="12" t="str">
        <x:v>tool</x:v>
      </x:c>
      <x:c r="E227" s="12" t="str">
        <x:v>early</x:v>
      </x:c>
      <x:c r="F227" s="12" t="str">
        <x:v>uncommon</x:v>
      </x:c>
      <x:c r="G227" s="12" t="str">
        <x:v>Eventide (Hunt Phase) — Use</x:v>
      </x:c>
      <x:c r="H227" s="34" t="n">
        <x:v>0</x:v>
      </x:c>
      <x:c r="I227" s="34" t="str">
        <x:v>skill</x:v>
      </x:c>
      <x:c r="J227" s="34" t="str"/>
      <x:c r="K227" s="34" t="str"/>
      <x:c r="L227" s="34" t="str"/>
      <x:c r="M227" s="12" t="str">
        <x:v>Exposed 1</x:v>
      </x:c>
      <x:c r="N227" s="12" t="str">
        <x:v>Tool, Harvest, Retreat</x:v>
      </x:c>
      <x:c r="O227" s="12" t="str">
        <x:v>Gain +2 to the next harvest, retreat, or weak-point test. If it fails, apply Exposed 1 to the quarry or clear it from a survivor.</x:v>
      </x:c>
      <x:c r="P227" s="12" t="str">
        <x:v>Gain +2 to the next harvest, retreat, or weak-point test linked to Hunting Hall. On failure, either apply Exposed 1 to the quarry or clear that status from a survivor. If this breaks a weak point, improve harvest quality by one step unless it is already Clean.</x:v>
      </x:c>
      <x:c r="Q227" s="12" t="str"/>
      <x:c r="R227" s="12" t="str">
        <x:v>quirk: harvest</x:v>
      </x:c>
      <x:c r="S227" s="12" t="str">
        <x:v>382d4ad2f329</x:v>
      </x:c>
      <x:c r="T227" s="12" t="n">
        <x:f>COUNTIF($S$2:$S$757,S227)</x:f>
        <x:v>1</x:v>
      </x:c>
      <x:c r="U227" s="12" t="str">
        <x:f>IF(T227=1,"OK","DUPLICATE")</x:f>
        <x:v>OK</x:v>
      </x:c>
    </x:row>
    <x:row r="228" ht="39.599998474121094" hidden="0" customHeight="1">
      <x:c r="A228" s="12" t="str">
        <x:v>Eventide (Hunt Phase)</x:v>
      </x:c>
      <x:c r="B228" s="12" t="str">
        <x:v>EVENTIDE (HUNT PHASE)</x:v>
      </x:c>
      <x:c r="C228" s="12" t="str">
        <x:v>tool</x:v>
      </x:c>
      <x:c r="D228" s="12" t="str">
        <x:v>tool</x:v>
      </x:c>
      <x:c r="E228" s="12" t="str">
        <x:v>early</x:v>
      </x:c>
      <x:c r="F228" s="12" t="str">
        <x:v>uncommon</x:v>
      </x:c>
      <x:c r="G228" s="12" t="str">
        <x:v>Eventide (Hunt Phase) — Contingency</x:v>
      </x:c>
      <x:c r="H228" s="34" t="n">
        <x:v>0</x:v>
      </x:c>
      <x:c r="I228" s="34" t="str">
        <x:v>reaction</x:v>
      </x:c>
      <x:c r="J228" s="34" t="str"/>
      <x:c r="K228" s="34" t="str"/>
      <x:c r="L228" s="34" t="str"/>
      <x:c r="M228" s="12" t="str"/>
      <x:c r="N228" s="12" t="str">
        <x:v>Tool, Harvest, Retreat</x:v>
      </x:c>
      <x:c r="O228" s="12" t="str">
        <x:v>When a hunt or monster consequence is previewed, reduce it by 2; on retreat, preserve 2 gathered resource.</x:v>
      </x:c>
      <x:c r="P228" s="12" t="str">
        <x:v>When a hunt event, retreat roll, or monster consequence is previewed, reduce the penalty by 2. If retreating, preserve 2 gathered resource. If this breaks a weak point, improve harvest quality by one step unless it is already Clean.</x:v>
      </x:c>
      <x:c r="Q228" s="12" t="str"/>
      <x:c r="R228" s="12" t="str">
        <x:v>quirk: harvest</x:v>
      </x:c>
      <x:c r="S228" s="12" t="str">
        <x:v>e2313283596d</x:v>
      </x:c>
      <x:c r="T228" s="12" t="n">
        <x:f>COUNTIF($S$2:$S$757,S228)</x:f>
        <x:v>1</x:v>
      </x:c>
      <x:c r="U228" s="12" t="str">
        <x:f>IF(T228=1,"OK","DUPLICATE")</x:f>
        <x:v>OK</x:v>
      </x:c>
    </x:row>
    <x:row r="229" ht="39.599998474121094" hidden="0" customHeight="1">
      <x:c r="A229" s="12" t="str">
        <x:v>Eventide (Showdown Phase)</x:v>
      </x:c>
      <x:c r="B229" s="12" t="str">
        <x:v>EVENTIDE (SHOWDOWN PHASE)</x:v>
      </x:c>
      <x:c r="C229" s="12" t="str">
        <x:v>tool</x:v>
      </x:c>
      <x:c r="D229" s="12" t="str">
        <x:v>tool</x:v>
      </x:c>
      <x:c r="E229" s="12" t="str">
        <x:v>early</x:v>
      </x:c>
      <x:c r="F229" s="12" t="str">
        <x:v>uncommon</x:v>
      </x:c>
      <x:c r="G229" s="12" t="str">
        <x:v>Eventide (Showdown Phase) — Use</x:v>
      </x:c>
      <x:c r="H229" s="34" t="n">
        <x:v>1</x:v>
      </x:c>
      <x:c r="I229" s="34" t="str">
        <x:v>skill</x:v>
      </x:c>
      <x:c r="J229" s="34" t="str"/>
      <x:c r="K229" s="34" t="str"/>
      <x:c r="L229" s="34" t="str"/>
      <x:c r="M229" s="12" t="str">
        <x:v>Marked 2</x:v>
      </x:c>
      <x:c r="N229" s="12" t="str">
        <x:v>Tool, Harvest, Retreat</x:v>
      </x:c>
      <x:c r="O229" s="12" t="str">
        <x:v>Gain +3 to the next harvest, retreat, or weak-point test. If it fails, apply Marked 2 to the quarry or clear it from a survivor.</x:v>
      </x:c>
      <x:c r="P229" s="12" t="str">
        <x:v>Gain +3 to the next harvest, retreat, or weak-point test linked to Hunting Hall. On failure, either apply Marked 2 to the quarry or clear that status from a survivor. You may gain Panic 1 to increase the listed number by 2.</x:v>
      </x:c>
      <x:c r="Q229" s="12" t="str"/>
      <x:c r="R229" s="12" t="str">
        <x:v>quirk: panicBrake</x:v>
      </x:c>
      <x:c r="S229" s="12" t="str">
        <x:v>9dfb4978b38f</x:v>
      </x:c>
      <x:c r="T229" s="12" t="n">
        <x:f>COUNTIF($S$2:$S$757,S229)</x:f>
        <x:v>1</x:v>
      </x:c>
      <x:c r="U229" s="12" t="str">
        <x:f>IF(T229=1,"OK","DUPLICATE")</x:f>
        <x:v>OK</x:v>
      </x:c>
    </x:row>
    <x:row r="230" ht="39.599998474121094" hidden="0" customHeight="1">
      <x:c r="A230" s="12" t="str">
        <x:v>Eventide (Showdown Phase)</x:v>
      </x:c>
      <x:c r="B230" s="12" t="str">
        <x:v>EVENTIDE (SHOWDOWN PHASE)</x:v>
      </x:c>
      <x:c r="C230" s="12" t="str">
        <x:v>tool</x:v>
      </x:c>
      <x:c r="D230" s="12" t="str">
        <x:v>tool</x:v>
      </x:c>
      <x:c r="E230" s="12" t="str">
        <x:v>early</x:v>
      </x:c>
      <x:c r="F230" s="12" t="str">
        <x:v>uncommon</x:v>
      </x:c>
      <x:c r="G230" s="12" t="str">
        <x:v>Eventide (Showdown Phase) — Contingency</x:v>
      </x:c>
      <x:c r="H230" s="34" t="n">
        <x:v>1</x:v>
      </x:c>
      <x:c r="I230" s="34" t="str">
        <x:v>reaction</x:v>
      </x:c>
      <x:c r="J230" s="34" t="str"/>
      <x:c r="K230" s="34" t="str"/>
      <x:c r="L230" s="34" t="str"/>
      <x:c r="M230" s="12" t="str"/>
      <x:c r="N230" s="12" t="str">
        <x:v>Tool, Harvest, Retreat</x:v>
      </x:c>
      <x:c r="O230" s="12" t="str">
        <x:v>When a hunt or monster consequence is previewed, reduce it by 4; on retreat, preserve 1 gathered resource.</x:v>
      </x:c>
      <x:c r="P230" s="12" t="str">
        <x:v>When a hunt event, retreat roll, or monster consequence is previewed, reduce the penalty by 4. If retreating, preserve 1 gathered resource. You may gain Panic 1 to increase the listed number by 2.</x:v>
      </x:c>
      <x:c r="Q230" s="12" t="str"/>
      <x:c r="R230" s="12" t="str">
        <x:v>quirk: panicBrake</x:v>
      </x:c>
      <x:c r="S230" s="12" t="str">
        <x:v>3823ccfb3c85</x:v>
      </x:c>
      <x:c r="T230" s="12" t="n">
        <x:f>COUNTIF($S$2:$S$757,S230)</x:f>
        <x:v>1</x:v>
      </x:c>
      <x:c r="U230" s="12" t="str">
        <x:f>IF(T230=1,"OK","DUPLICATE")</x:f>
        <x:v>OK</x:v>
      </x:c>
    </x:row>
    <x:row r="231" ht="39.599998474121094" hidden="0" customHeight="1">
      <x:c r="A231" s="12" t="str">
        <x:v>Fanged Dusters</x:v>
      </x:c>
      <x:c r="B231" s="12" t="str">
        <x:v>FANGED DUSTERS</x:v>
      </x:c>
      <x:c r="C231" s="12" t="str">
        <x:v>tool</x:v>
      </x:c>
      <x:c r="D231" s="12" t="str">
        <x:v>tool</x:v>
      </x:c>
      <x:c r="E231" s="12" t="str">
        <x:v>early</x:v>
      </x:c>
      <x:c r="F231" s="12" t="str">
        <x:v>uncommon</x:v>
      </x:c>
      <x:c r="G231" s="12" t="str">
        <x:v>Fanged Dusters — Use</x:v>
      </x:c>
      <x:c r="H231" s="34" t="n">
        <x:v>1</x:v>
      </x:c>
      <x:c r="I231" s="34" t="str">
        <x:v>skill</x:v>
      </x:c>
      <x:c r="J231" s="34" t="str"/>
      <x:c r="K231" s="34" t="str"/>
      <x:c r="L231" s="34" t="str"/>
      <x:c r="M231" s="12" t="str">
        <x:v>Bleed 1</x:v>
      </x:c>
      <x:c r="N231" s="12" t="str">
        <x:v>Tool, Harvest, Retreat</x:v>
      </x:c>
      <x:c r="O231" s="12" t="str">
        <x:v>Gain +1 to the next harvest, retreat, or weak-point test. If it fails, apply Bleed 1 to the quarry or clear it from a survivor.</x:v>
      </x:c>
      <x:c r="P231" s="12" t="str">
        <x:v>Gain +1 to the next harvest, retreat, or weak-point test linked to Stone Circle. On failure, either apply Bleed 1 to the quarry or clear that status from a survivor. Chosen ally gains Guarded 1 after this resolves.</x:v>
      </x:c>
      <x:c r="Q231" s="12" t="str"/>
      <x:c r="R231" s="12" t="str">
        <x:v>quirk: ally</x:v>
      </x:c>
      <x:c r="S231" s="12" t="str">
        <x:v>5f9c31553fe1</x:v>
      </x:c>
      <x:c r="T231" s="12" t="n">
        <x:f>COUNTIF($S$2:$S$757,S231)</x:f>
        <x:v>1</x:v>
      </x:c>
      <x:c r="U231" s="12" t="str">
        <x:f>IF(T231=1,"OK","DUPLICATE")</x:f>
        <x:v>OK</x:v>
      </x:c>
    </x:row>
    <x:row r="232" ht="39.599998474121094" hidden="0" customHeight="1">
      <x:c r="A232" s="12" t="str">
        <x:v>Fanged Dusters</x:v>
      </x:c>
      <x:c r="B232" s="12" t="str">
        <x:v>FANGED DUSTERS</x:v>
      </x:c>
      <x:c r="C232" s="12" t="str">
        <x:v>tool</x:v>
      </x:c>
      <x:c r="D232" s="12" t="str">
        <x:v>tool</x:v>
      </x:c>
      <x:c r="E232" s="12" t="str">
        <x:v>early</x:v>
      </x:c>
      <x:c r="F232" s="12" t="str">
        <x:v>uncommon</x:v>
      </x:c>
      <x:c r="G232" s="12" t="str">
        <x:v>Fanged Dusters — Contingency</x:v>
      </x:c>
      <x:c r="H232" s="34" t="n">
        <x:v>1</x:v>
      </x:c>
      <x:c r="I232" s="34" t="str">
        <x:v>reaction</x:v>
      </x:c>
      <x:c r="J232" s="34" t="str"/>
      <x:c r="K232" s="34" t="str"/>
      <x:c r="L232" s="34" t="str"/>
      <x:c r="M232" s="12" t="str"/>
      <x:c r="N232" s="12" t="str">
        <x:v>Tool, Harvest, Retreat</x:v>
      </x:c>
      <x:c r="O232" s="12" t="str">
        <x:v>When a hunt or monster consequence is previewed, reduce it by 1; on retreat, preserve 2 gathered resource.</x:v>
      </x:c>
      <x:c r="P232" s="12" t="str">
        <x:v>When a hunt event, retreat roll, or monster consequence is previewed, reduce the penalty by 1. If retreating, preserve 2 gathered resource. Chosen ally gains Guarded 1 after this resolves.</x:v>
      </x:c>
      <x:c r="Q232" s="12" t="str"/>
      <x:c r="R232" s="12" t="str">
        <x:v>quirk: ally</x:v>
      </x:c>
      <x:c r="S232" s="12" t="str">
        <x:v>4883fdcbd528</x:v>
      </x:c>
      <x:c r="T232" s="12" t="n">
        <x:f>COUNTIF($S$2:$S$757,S232)</x:f>
        <x:v>1</x:v>
      </x:c>
      <x:c r="U232" s="12" t="str">
        <x:f>IF(T232=1,"OK","DUPLICATE")</x:f>
        <x:v>OK</x:v>
      </x:c>
    </x:row>
    <x:row r="233" ht="39.599998474121094" hidden="0" customHeight="1">
      <x:c r="A233" s="12" t="str">
        <x:v>Feather Mantle</x:v>
      </x:c>
      <x:c r="B233" s="12" t="str">
        <x:v>FEATHER MANTLE</x:v>
      </x:c>
      <x:c r="C233" s="12" t="str">
        <x:v>tool</x:v>
      </x:c>
      <x:c r="D233" s="12" t="str">
        <x:v>tool</x:v>
      </x:c>
      <x:c r="E233" s="12" t="str">
        <x:v>early</x:v>
      </x:c>
      <x:c r="F233" s="12" t="str">
        <x:v>common</x:v>
      </x:c>
      <x:c r="G233" s="12" t="str">
        <x:v>Feather Mantle — Use</x:v>
      </x:c>
      <x:c r="H233" s="34" t="n">
        <x:v>1</x:v>
      </x:c>
      <x:c r="I233" s="34" t="str">
        <x:v>skill</x:v>
      </x:c>
      <x:c r="J233" s="34" t="str"/>
      <x:c r="K233" s="34" t="str"/>
      <x:c r="L233" s="34" t="str"/>
      <x:c r="M233" s="12" t="str">
        <x:v>Doom 1</x:v>
      </x:c>
      <x:c r="N233" s="12" t="str">
        <x:v>Tool, Harvest, Retreat</x:v>
      </x:c>
      <x:c r="O233" s="12" t="str">
        <x:v>Gain +2 to the next harvest, retreat, or weak-point test. If it fails, apply Doom 1 to the quarry or clear it from a survivor.</x:v>
      </x:c>
      <x:c r="P233" s="12" t="str">
        <x:v>Gain +2 to the next harvest, retreat, or weak-point test linked to Plumery. On failure, either apply Doom 1 to the quarry or clear that status from a survivor. If used on a hunt node, also mark one gathered resource as confirmed.</x:v>
      </x:c>
      <x:c r="Q233" s="12" t="str"/>
      <x:c r="R233" s="12" t="str">
        <x:v>quirk: retreat</x:v>
      </x:c>
      <x:c r="S233" s="12" t="str">
        <x:v>8a84d4962ac7</x:v>
      </x:c>
      <x:c r="T233" s="12" t="n">
        <x:f>COUNTIF($S$2:$S$757,S233)</x:f>
        <x:v>1</x:v>
      </x:c>
      <x:c r="U233" s="12" t="str">
        <x:f>IF(T233=1,"OK","DUPLICATE")</x:f>
        <x:v>OK</x:v>
      </x:c>
    </x:row>
    <x:row r="234" ht="39.599998474121094" hidden="0" customHeight="1">
      <x:c r="A234" s="12" t="str">
        <x:v>Feather Mantle</x:v>
      </x:c>
      <x:c r="B234" s="12" t="str">
        <x:v>FEATHER MANTLE</x:v>
      </x:c>
      <x:c r="C234" s="12" t="str">
        <x:v>tool</x:v>
      </x:c>
      <x:c r="D234" s="12" t="str">
        <x:v>tool</x:v>
      </x:c>
      <x:c r="E234" s="12" t="str">
        <x:v>early</x:v>
      </x:c>
      <x:c r="F234" s="12" t="str">
        <x:v>common</x:v>
      </x:c>
      <x:c r="G234" s="12" t="str">
        <x:v>Feather Mantle — Contingency</x:v>
      </x:c>
      <x:c r="H234" s="34" t="n">
        <x:v>1</x:v>
      </x:c>
      <x:c r="I234" s="34" t="str">
        <x:v>reaction</x:v>
      </x:c>
      <x:c r="J234" s="34" t="str"/>
      <x:c r="K234" s="34" t="str"/>
      <x:c r="L234" s="34" t="str"/>
      <x:c r="M234" s="12" t="str"/>
      <x:c r="N234" s="12" t="str">
        <x:v>Tool, Harvest, Retreat</x:v>
      </x:c>
      <x:c r="O234" s="12" t="str">
        <x:v>When a hunt or monster consequence is previewed, reduce it by 2; on retreat, preserve 1 gathered resource.</x:v>
      </x:c>
      <x:c r="P234" s="12" t="str">
        <x:v>When a hunt event, retreat roll, or monster consequence is previewed, reduce the penalty by 2. If retreating, preserve 1 gathered resource. If used on a hunt node, also mark one gathered resource as confirmed.</x:v>
      </x:c>
      <x:c r="Q234" s="12" t="str"/>
      <x:c r="R234" s="12" t="str">
        <x:v>quirk: retreat</x:v>
      </x:c>
      <x:c r="S234" s="12" t="str">
        <x:v>390093c0716d</x:v>
      </x:c>
      <x:c r="T234" s="12" t="n">
        <x:f>COUNTIF($S$2:$S$757,S234)</x:f>
        <x:v>1</x:v>
      </x:c>
      <x:c r="U234" s="12" t="str">
        <x:f>IF(T234=1,"OK","DUPLICATE")</x:f>
        <x:v>OK</x:v>
      </x:c>
    </x:row>
    <x:row r="235" ht="26.399999618530273" hidden="0" customHeight="1">
      <x:c r="A235" s="12" t="str">
        <x:v>Feather Guard</x:v>
      </x:c>
      <x:c r="B235" s="12" t="str">
        <x:v>FEATHER SHIELD</x:v>
      </x:c>
      <x:c r="C235" s="12" t="str">
        <x:v>offhand</x:v>
      </x:c>
      <x:c r="D235" s="12" t="str">
        <x:v>shield</x:v>
      </x:c>
      <x:c r="E235" s="12" t="str">
        <x:v>early</x:v>
      </x:c>
      <x:c r="F235" s="12" t="str">
        <x:v>common</x:v>
      </x:c>
      <x:c r="G235" s="12" t="str">
        <x:v>Feather Guard — Shield Wall</x:v>
      </x:c>
      <x:c r="H235" s="34" t="n">
        <x:v>1</x:v>
      </x:c>
      <x:c r="I235" s="34" t="str">
        <x:v>skill</x:v>
      </x:c>
      <x:c r="J235" s="34" t="str"/>
      <x:c r="K235" s="34" t="str"/>
      <x:c r="L235" s="34" t="n">
        <x:v>4</x:v>
      </x:c>
      <x:c r="M235" s="12" t="str"/>
      <x:c r="N235" s="12" t="str">
        <x:v>Defensive, Counter, Party</x:v>
      </x:c>
      <x:c r="O235" s="12" t="str">
        <x:v>Gain 4 block and give chosen ally Guarded 2. The first Counter from this equipment this battle costs 0.</x:v>
      </x:c>
      <x:c r="P235" s="12" t="str">
        <x:v>Gain 4 block and give chosen ally Guarded 2. Set firstCounterReady for this equipment if unused. If you play a third attack this round, gain Panic 1.</x:v>
      </x:c>
      <x:c r="Q235" s="12" t="str"/>
      <x:c r="R235" s="12" t="str">
        <x:v>quirk: frenzyCheck | grantsFirstCounterFree True</x:v>
      </x:c>
      <x:c r="S235" s="12" t="str">
        <x:v>3ad4c13a5bb1</x:v>
      </x:c>
      <x:c r="T235" s="12" t="n">
        <x:f>COUNTIF($S$2:$S$757,S235)</x:f>
        <x:v>1</x:v>
      </x:c>
      <x:c r="U235" s="12" t="str">
        <x:f>IF(T235=1,"OK","DUPLICATE")</x:f>
        <x:v>OK</x:v>
      </x:c>
    </x:row>
    <x:row r="236" ht="39.599998474121094" hidden="0" customHeight="1">
      <x:c r="A236" s="12" t="str">
        <x:v>Feather Guard</x:v>
      </x:c>
      <x:c r="B236" s="12" t="str">
        <x:v>FEATHER SHIELD</x:v>
      </x:c>
      <x:c r="C236" s="12" t="str">
        <x:v>offhand</x:v>
      </x:c>
      <x:c r="D236" s="12" t="str">
        <x:v>shield</x:v>
      </x:c>
      <x:c r="E236" s="12" t="str">
        <x:v>early</x:v>
      </x:c>
      <x:c r="F236" s="12" t="str">
        <x:v>common</x:v>
      </x:c>
      <x:c r="G236" s="12" t="str">
        <x:v>Feather Guard — Answering Bash</x:v>
      </x:c>
      <x:c r="H236" s="34" t="n">
        <x:v>1</x:v>
      </x:c>
      <x:c r="I236" s="34" t="str">
        <x:v>reaction</x:v>
      </x:c>
      <x:c r="J236" s="34" t="n">
        <x:v>4</x:v>
      </x:c>
      <x:c r="K236" s="34" t="str"/>
      <x:c r="L236" s="34" t="n">
        <x:v>0</x:v>
      </x:c>
      <x:c r="M236" s="12" t="str"/>
      <x:c r="N236" s="12" t="str">
        <x:v>Defensive, Counter, Party</x:v>
      </x:c>
      <x:c r="O236" s="12" t="str">
        <x:v>Counter for 4 damage after blocking. Costs 0 if it is this equipment’s first Counter of the battle.</x:v>
      </x:c>
      <x:c r="P236" s="12" t="str">
        <x:v>After this survivor blocks or prevents damage, Counter for 4 damage. If firstCounterUsed[featherGuard] is false this battle, pay 0 and then set it true. If you play a third attack this round, gain Panic 1.</x:v>
      </x:c>
      <x:c r="Q236" s="12" t="str">
        <x:v>YES</x:v>
      </x:c>
      <x:c r="R236" s="12" t="str">
        <x:v>quirk: frenzyCheck | countsAsCounter True, firstCounterFree True, counterFreeScope perBattlePerEquipment</x:v>
      </x:c>
      <x:c r="S236" s="12" t="str">
        <x:v>c80166b54c65</x:v>
      </x:c>
      <x:c r="T236" s="12" t="n">
        <x:f>COUNTIF($S$2:$S$757,S236)</x:f>
        <x:v>1</x:v>
      </x:c>
      <x:c r="U236" s="12" t="str">
        <x:f>IF(T236=1,"OK","DUPLICATE")</x:f>
        <x:v>OK</x:v>
      </x:c>
    </x:row>
    <x:row r="237" ht="26.399999618530273" hidden="0" customHeight="1">
      <x:c r="A237" s="12" t="str">
        <x:v>Fecal Salve</x:v>
      </x:c>
      <x:c r="B237" s="12" t="str">
        <x:v>FECAL SALVE</x:v>
      </x:c>
      <x:c r="C237" s="12" t="str">
        <x:v>tool</x:v>
      </x:c>
      <x:c r="D237" s="12" t="str">
        <x:v>bandage</x:v>
      </x:c>
      <x:c r="E237" s="12" t="str">
        <x:v>early</x:v>
      </x:c>
      <x:c r="F237" s="12" t="str">
        <x:v>common</x:v>
      </x:c>
      <x:c r="G237" s="12" t="str">
        <x:v>Fecal Salve — Resonance</x:v>
      </x:c>
      <x:c r="H237" s="34" t="n">
        <x:v>1</x:v>
      </x:c>
      <x:c r="I237" s="34" t="str">
        <x:v>support</x:v>
      </x:c>
      <x:c r="J237" s="34" t="str"/>
      <x:c r="K237" s="34" t="str"/>
      <x:c r="L237" s="34" t="n">
        <x:v>4</x:v>
      </x:c>
      <x:c r="M237" s="12" t="str"/>
      <x:c r="N237" s="12" t="str">
        <x:v>WoundCare, Support, Party</x:v>
      </x:c>
      <x:c r="O237" s="12" t="str">
        <x:v>Chosen ally gains 4 block and Prepared 1. Gain Panic 1.</x:v>
      </x:c>
      <x:c r="P237" s="12" t="str">
        <x:v>Chosen ally gains 4 block and Prepared 1. If the phase is wrong for this item, also gain Panic 1. After use, Exhaust this equipment until the next monster turn.</x:v>
      </x:c>
      <x:c r="Q237" s="12" t="str"/>
      <x:c r="R237" s="12" t="str">
        <x:v>quirk: exhaust</x:v>
      </x:c>
      <x:c r="S237" s="12" t="str">
        <x:v>8a8ed2a01006</x:v>
      </x:c>
      <x:c r="T237" s="12" t="n">
        <x:f>COUNTIF($S$2:$S$757,S237)</x:f>
        <x:v>1</x:v>
      </x:c>
      <x:c r="U237" s="12" t="str">
        <x:f>IF(T237=1,"OK","DUPLICATE")</x:f>
        <x:v>OK</x:v>
      </x:c>
    </x:row>
    <x:row r="238" ht="39.599998474121094" hidden="0" customHeight="1">
      <x:c r="A238" s="12" t="str">
        <x:v>Fecal Salve</x:v>
      </x:c>
      <x:c r="B238" s="12" t="str">
        <x:v>FECAL SALVE</x:v>
      </x:c>
      <x:c r="C238" s="12" t="str">
        <x:v>tool</x:v>
      </x:c>
      <x:c r="D238" s="12" t="str">
        <x:v>bandage</x:v>
      </x:c>
      <x:c r="E238" s="12" t="str">
        <x:v>early</x:v>
      </x:c>
      <x:c r="F238" s="12" t="str">
        <x:v>common</x:v>
      </x:c>
      <x:c r="G238" s="12" t="str">
        <x:v>Fecal Salve — Echo</x:v>
      </x:c>
      <x:c r="H238" s="34" t="n">
        <x:v>1</x:v>
      </x:c>
      <x:c r="I238" s="34" t="str">
        <x:v>reaction</x:v>
      </x:c>
      <x:c r="J238" s="34" t="str"/>
      <x:c r="K238" s="34" t="str"/>
      <x:c r="L238" s="34" t="str"/>
      <x:c r="M238" s="12" t="str"/>
      <x:c r="N238" s="12" t="str">
        <x:v>WoundCare, Support, Party</x:v>
      </x:c>
      <x:c r="O238" s="12" t="str">
        <x:v>After an ally breaks a weak point, give the next ally Guarded 1 or clear Panic 1.</x:v>
      </x:c>
      <x:c r="P238" s="12" t="str">
        <x:v>After an ally breaks a weak point or survives a hunt event, choose: next ally gains Guarded 1, or clear Panic 1. After use, Exhaust this equipment until the next monster turn.</x:v>
      </x:c>
      <x:c r="Q238" s="12" t="str"/>
      <x:c r="R238" s="12" t="str">
        <x:v>quirk: exhaust</x:v>
      </x:c>
      <x:c r="S238" s="12" t="str">
        <x:v>da4db7219084</x:v>
      </x:c>
      <x:c r="T238" s="12" t="n">
        <x:f>COUNTIF($S$2:$S$757,S238)</x:f>
        <x:v>1</x:v>
      </x:c>
      <x:c r="U238" s="12" t="str">
        <x:f>IF(T238=1,"OK","DUPLICATE")</x:f>
        <x:v>OK</x:v>
      </x:c>
    </x:row>
    <x:row r="239" ht="39.599998474121094" hidden="0" customHeight="1">
      <x:c r="A239" s="12" t="str">
        <x:v>Fetosaurus</x:v>
      </x:c>
      <x:c r="B239" s="12" t="str">
        <x:v>FETOSAURUS</x:v>
      </x:c>
      <x:c r="C239" s="12" t="str">
        <x:v>body</x:v>
      </x:c>
      <x:c r="D239" s="12" t="str">
        <x:v>armor</x:v>
      </x:c>
      <x:c r="E239" s="12" t="str">
        <x:v>mid</x:v>
      </x:c>
      <x:c r="F239" s="12" t="str">
        <x:v>uncommon</x:v>
      </x:c>
      <x:c r="G239" s="12" t="str">
        <x:v>Fetosaurus — Brace</x:v>
      </x:c>
      <x:c r="H239" s="34" t="n">
        <x:v>1</x:v>
      </x:c>
      <x:c r="I239" s="34" t="str">
        <x:v>skill</x:v>
      </x:c>
      <x:c r="J239" s="34" t="str"/>
      <x:c r="K239" s="34" t="str"/>
      <x:c r="L239" s="34" t="n">
        <x:v>6</x:v>
      </x:c>
      <x:c r="M239" s="12" t="str"/>
      <x:c r="N239" s="12" t="str">
        <x:v>Defensive, Party, WoundCare</x:v>
      </x:c>
      <x:c r="O239" s="12" t="str">
        <x:v>Gain 6 block and Guarded 2. If hit before your next turn, reduce Shock or Panic by 1.</x:v>
      </x:c>
      <x:c r="P239" s="12" t="str">
        <x:v>Gain 6 block and Guarded 2. If the next monster hit lands before your next turn, reduce Shock or Panic by 1 after damage. If this breaks a weak point, improve harvest quality by one step unless it is already Clean.</x:v>
      </x:c>
      <x:c r="Q239" s="12" t="str"/>
      <x:c r="R239" s="12" t="str">
        <x:v>quirk: harvest</x:v>
      </x:c>
      <x:c r="S239" s="12" t="str">
        <x:v>2d755590b89b</x:v>
      </x:c>
      <x:c r="T239" s="12" t="n">
        <x:f>COUNTIF($S$2:$S$757,S239)</x:f>
        <x:v>1</x:v>
      </x:c>
      <x:c r="U239" s="12" t="str">
        <x:f>IF(T239=1,"OK","DUPLICATE")</x:f>
        <x:v>OK</x:v>
      </x:c>
    </x:row>
    <x:row r="240" ht="39.599998474121094" hidden="0" customHeight="1">
      <x:c r="A240" s="12" t="str">
        <x:v>Fetosaurus</x:v>
      </x:c>
      <x:c r="B240" s="12" t="str">
        <x:v>FETOSAURUS</x:v>
      </x:c>
      <x:c r="C240" s="12" t="str">
        <x:v>body</x:v>
      </x:c>
      <x:c r="D240" s="12" t="str">
        <x:v>armor</x:v>
      </x:c>
      <x:c r="E240" s="12" t="str">
        <x:v>mid</x:v>
      </x:c>
      <x:c r="F240" s="12" t="str">
        <x:v>uncommon</x:v>
      </x:c>
      <x:c r="G240" s="12" t="str">
        <x:v>Fetosaurus — Fitted Plate</x:v>
      </x:c>
      <x:c r="H240" s="34" t="n">
        <x:v>2</x:v>
      </x:c>
      <x:c r="I240" s="34" t="str">
        <x:v>reaction</x:v>
      </x:c>
      <x:c r="J240" s="34" t="str"/>
      <x:c r="K240" s="34" t="str"/>
      <x:c r="L240" s="34" t="n">
        <x:v>8</x:v>
      </x:c>
      <x:c r="M240" s="12" t="str"/>
      <x:c r="N240" s="12" t="str">
        <x:v>Defensive, Party, WoundCare, Reaction</x:v>
      </x:c>
      <x:c r="O240" s="12" t="str">
        <x:v>After damage is previewed, prevent 8 damage. Then give the next ally Guarded 2.</x:v>
      </x:c>
      <x:c r="P240" s="12" t="str">
        <x:v>After incoming damage is previewed, prevent 8 damage with the body slot. Then the next ally gains Guarded 2. If this breaks a weak point, improve harvest quality by one step unless it is already Clean.</x:v>
      </x:c>
      <x:c r="Q240" s="12" t="str"/>
      <x:c r="R240" s="12" t="str">
        <x:v>quirk: harvest</x:v>
      </x:c>
      <x:c r="S240" s="12" t="str">
        <x:v>9e66856ef154</x:v>
      </x:c>
      <x:c r="T240" s="12" t="n">
        <x:f>COUNTIF($S$2:$S$757,S240)</x:f>
        <x:v>1</x:v>
      </x:c>
      <x:c r="U240" s="12" t="str">
        <x:f>IF(T240=1,"OK","DUPLICATE")</x:f>
        <x:v>OK</x:v>
      </x:c>
    </x:row>
    <x:row r="241" ht="39.599998474121094" hidden="0" customHeight="1">
      <x:c r="A241" s="12" t="str">
        <x:v>Finger of God</x:v>
      </x:c>
      <x:c r="B241" s="12" t="str">
        <x:v>FINGER OF GOD</x:v>
      </x:c>
      <x:c r="C241" s="12" t="str">
        <x:v>tool</x:v>
      </x:c>
      <x:c r="D241" s="12" t="str">
        <x:v>tool</x:v>
      </x:c>
      <x:c r="E241" s="12" t="str">
        <x:v>early</x:v>
      </x:c>
      <x:c r="F241" s="12" t="str">
        <x:v>uncommon</x:v>
      </x:c>
      <x:c r="G241" s="12" t="str">
        <x:v>Finger of God — Use</x:v>
      </x:c>
      <x:c r="H241" s="34" t="n">
        <x:v>1</x:v>
      </x:c>
      <x:c r="I241" s="34" t="str">
        <x:v>skill</x:v>
      </x:c>
      <x:c r="J241" s="34" t="str"/>
      <x:c r="K241" s="34" t="str"/>
      <x:c r="L241" s="34" t="str"/>
      <x:c r="M241" s="12" t="str">
        <x:v>Blind 2</x:v>
      </x:c>
      <x:c r="N241" s="12" t="str">
        <x:v>Tool, Harvest, Retreat</x:v>
      </x:c>
      <x:c r="O241" s="12" t="str">
        <x:v>Gain +3 to the next harvest, retreat, or weak-point test. If it fails, apply Blind 2 to the quarry or clear it from a survivor.</x:v>
      </x:c>
      <x:c r="P241" s="12" t="str">
        <x:v>Gain +3 to the next harvest, retreat, or weak-point test linked to Weapon Crafter. On failure, either apply Blind 2 to the quarry or clear that status from a survivor. If this is the only card you play this turn, gain +2 block.</x:v>
      </x:c>
      <x:c r="Q241" s="12" t="str"/>
      <x:c r="R241" s="12" t="str">
        <x:v>quirk: stance</x:v>
      </x:c>
      <x:c r="S241" s="12" t="str">
        <x:v>9e327ede359c</x:v>
      </x:c>
      <x:c r="T241" s="12" t="n">
        <x:f>COUNTIF($S$2:$S$757,S241)</x:f>
        <x:v>1</x:v>
      </x:c>
      <x:c r="U241" s="12" t="str">
        <x:f>IF(T241=1,"OK","DUPLICATE")</x:f>
        <x:v>OK</x:v>
      </x:c>
    </x:row>
    <x:row r="242" ht="39.599998474121094" hidden="0" customHeight="1">
      <x:c r="A242" s="12" t="str">
        <x:v>Finger of God</x:v>
      </x:c>
      <x:c r="B242" s="12" t="str">
        <x:v>FINGER OF GOD</x:v>
      </x:c>
      <x:c r="C242" s="12" t="str">
        <x:v>tool</x:v>
      </x:c>
      <x:c r="D242" s="12" t="str">
        <x:v>tool</x:v>
      </x:c>
      <x:c r="E242" s="12" t="str">
        <x:v>early</x:v>
      </x:c>
      <x:c r="F242" s="12" t="str">
        <x:v>uncommon</x:v>
      </x:c>
      <x:c r="G242" s="12" t="str">
        <x:v>Finger of God — Contingency</x:v>
      </x:c>
      <x:c r="H242" s="34" t="n">
        <x:v>1</x:v>
      </x:c>
      <x:c r="I242" s="34" t="str">
        <x:v>reaction</x:v>
      </x:c>
      <x:c r="J242" s="34" t="str"/>
      <x:c r="K242" s="34" t="str"/>
      <x:c r="L242" s="34" t="str"/>
      <x:c r="M242" s="12" t="str"/>
      <x:c r="N242" s="12" t="str">
        <x:v>Tool, Harvest, Retreat</x:v>
      </x:c>
      <x:c r="O242" s="12" t="str">
        <x:v>When a hunt or monster consequence is previewed, reduce it by 3; on retreat, preserve 1 gathered resource.</x:v>
      </x:c>
      <x:c r="P242" s="12" t="str">
        <x:v>When a hunt event, retreat roll, or monster consequence is previewed, reduce the penalty by 3. If retreating, preserve 1 gathered resource. If this is the only card you play this turn, gain +2 block.</x:v>
      </x:c>
      <x:c r="Q242" s="12" t="str"/>
      <x:c r="R242" s="12" t="str">
        <x:v>quirk: stance</x:v>
      </x:c>
      <x:c r="S242" s="12" t="str">
        <x:v>771f9d6b35d7</x:v>
      </x:c>
      <x:c r="T242" s="12" t="n">
        <x:f>COUNTIF($S$2:$S$757,S242)</x:f>
        <x:v>1</x:v>
      </x:c>
      <x:c r="U242" s="12" t="str">
        <x:f>IF(T242=1,"OK","DUPLICATE")</x:f>
        <x:v>OK</x:v>
      </x:c>
    </x:row>
    <x:row r="243" ht="26.399999618530273" hidden="0" customHeight="1">
      <x:c r="A243" s="12" t="str">
        <x:v>First Aid Kit</x:v>
      </x:c>
      <x:c r="B243" s="12" t="str">
        <x:v>FIRST AID KIT</x:v>
      </x:c>
      <x:c r="C243" s="12" t="str">
        <x:v>tool</x:v>
      </x:c>
      <x:c r="D243" s="12" t="str">
        <x:v>bandage</x:v>
      </x:c>
      <x:c r="E243" s="12" t="str">
        <x:v>mid</x:v>
      </x:c>
      <x:c r="F243" s="12" t="str">
        <x:v>uncommon</x:v>
      </x:c>
      <x:c r="G243" s="12" t="str">
        <x:v>First Aid Kit — Resonance</x:v>
      </x:c>
      <x:c r="H243" s="34" t="n">
        <x:v>1</x:v>
      </x:c>
      <x:c r="I243" s="34" t="str">
        <x:v>support</x:v>
      </x:c>
      <x:c r="J243" s="34" t="str"/>
      <x:c r="K243" s="34" t="str"/>
      <x:c r="L243" s="34" t="n">
        <x:v>4</x:v>
      </x:c>
      <x:c r="M243" s="12" t="str"/>
      <x:c r="N243" s="12" t="str">
        <x:v>WoundCare, Support, Party</x:v>
      </x:c>
      <x:c r="O243" s="12" t="str">
        <x:v>Chosen ally gains 4 block and Prepared 2. Gain Panic 1.</x:v>
      </x:c>
      <x:c r="P243" s="12" t="str">
        <x:v>Chosen ally gains 4 block and Prepared 2. If the phase is wrong for this item, also gain Panic 1. If played after blocking, your next Counter gains +2 damage.</x:v>
      </x:c>
      <x:c r="Q243" s="12" t="str"/>
      <x:c r="R243" s="12" t="str">
        <x:v>quirk: counterReady</x:v>
      </x:c>
      <x:c r="S243" s="12" t="str">
        <x:v>aba1c58e85a4</x:v>
      </x:c>
      <x:c r="T243" s="12" t="n">
        <x:f>COUNTIF($S$2:$S$757,S243)</x:f>
        <x:v>1</x:v>
      </x:c>
      <x:c r="U243" s="12" t="str">
        <x:f>IF(T243=1,"OK","DUPLICATE")</x:f>
        <x:v>OK</x:v>
      </x:c>
    </x:row>
    <x:row r="244" ht="39.599998474121094" hidden="0" customHeight="1">
      <x:c r="A244" s="12" t="str">
        <x:v>First Aid Kit</x:v>
      </x:c>
      <x:c r="B244" s="12" t="str">
        <x:v>FIRST AID KIT</x:v>
      </x:c>
      <x:c r="C244" s="12" t="str">
        <x:v>tool</x:v>
      </x:c>
      <x:c r="D244" s="12" t="str">
        <x:v>bandage</x:v>
      </x:c>
      <x:c r="E244" s="12" t="str">
        <x:v>mid</x:v>
      </x:c>
      <x:c r="F244" s="12" t="str">
        <x:v>uncommon</x:v>
      </x:c>
      <x:c r="G244" s="12" t="str">
        <x:v>First Aid Kit — Echo</x:v>
      </x:c>
      <x:c r="H244" s="34" t="n">
        <x:v>1</x:v>
      </x:c>
      <x:c r="I244" s="34" t="str">
        <x:v>reaction</x:v>
      </x:c>
      <x:c r="J244" s="34" t="str"/>
      <x:c r="K244" s="34" t="str"/>
      <x:c r="L244" s="34" t="str"/>
      <x:c r="M244" s="12" t="str"/>
      <x:c r="N244" s="12" t="str">
        <x:v>WoundCare, Support, Party</x:v>
      </x:c>
      <x:c r="O244" s="12" t="str">
        <x:v>After an ally breaks a weak point, give the next ally Guarded 2 or clear Panic 2.</x:v>
      </x:c>
      <x:c r="P244" s="12" t="str">
        <x:v>After an ally breaks a weak point or survives a hunt event, choose: next ally gains Guarded 2, or clear Panic 2. If played after blocking, your next Counter gains +2 damage.</x:v>
      </x:c>
      <x:c r="Q244" s="12" t="str"/>
      <x:c r="R244" s="12" t="str">
        <x:v>quirk: counterReady</x:v>
      </x:c>
      <x:c r="S244" s="12" t="str">
        <x:v>e8d09c53d22e</x:v>
      </x:c>
      <x:c r="T244" s="12" t="n">
        <x:f>COUNTIF($S$2:$S$757,S244)</x:f>
        <x:v>1</x:v>
      </x:c>
      <x:c r="U244" s="12" t="str">
        <x:f>IF(T244=1,"OK","DUPLICATE")</x:f>
        <x:v>OK</x:v>
      </x:c>
    </x:row>
    <x:row r="245" ht="39.599998474121094" hidden="0" customHeight="1">
      <x:c r="A245" s="12" t="str">
        <x:v>Frenzy Drink</x:v>
      </x:c>
      <x:c r="B245" s="12" t="str">
        <x:v>FRENZY DRINK</x:v>
      </x:c>
      <x:c r="C245" s="12" t="str">
        <x:v>tool</x:v>
      </x:c>
      <x:c r="D245" s="12" t="str">
        <x:v>consumable</x:v>
      </x:c>
      <x:c r="E245" s="12" t="str">
        <x:v>early</x:v>
      </x:c>
      <x:c r="F245" s="12" t="str">
        <x:v>uncommon</x:v>
      </x:c>
      <x:c r="G245" s="12" t="str">
        <x:v>Frenzy Drink — Use</x:v>
      </x:c>
      <x:c r="H245" s="34" t="n">
        <x:v>0</x:v>
      </x:c>
      <x:c r="I245" s="34" t="str">
        <x:v>skill</x:v>
      </x:c>
      <x:c r="J245" s="34" t="str"/>
      <x:c r="K245" s="34" t="str"/>
      <x:c r="L245" s="34" t="str"/>
      <x:c r="M245" s="12" t="str">
        <x:v>Bleed 1</x:v>
      </x:c>
      <x:c r="N245" s="12" t="str">
        <x:v>Tool, Survival, Retreat</x:v>
      </x:c>
      <x:c r="O245" s="12" t="str">
        <x:v>Gain +2 to the next harvest, retreat, or weak-point test. If it fails, apply Bleed 1 to the quarry or clear it from a survivor.</x:v>
      </x:c>
      <x:c r="P245" s="12" t="str">
        <x:v>Gain +2 to the next harvest, retreat, or weak-point test linked to Catarium. On failure, either apply Bleed 1 to the quarry or clear that status from a survivor. If you play a third attack this round, gain Panic 1.</x:v>
      </x:c>
      <x:c r="Q245" s="12" t="str"/>
      <x:c r="R245" s="12" t="str">
        <x:v>quirk: frenzyCheck</x:v>
      </x:c>
      <x:c r="S245" s="12" t="str">
        <x:v>f144df2977c4</x:v>
      </x:c>
      <x:c r="T245" s="12" t="n">
        <x:f>COUNTIF($S$2:$S$757,S245)</x:f>
        <x:v>1</x:v>
      </x:c>
      <x:c r="U245" s="12" t="str">
        <x:f>IF(T245=1,"OK","DUPLICATE")</x:f>
        <x:v>OK</x:v>
      </x:c>
    </x:row>
    <x:row r="246" ht="39.599998474121094" hidden="0" customHeight="1">
      <x:c r="A246" s="12" t="str">
        <x:v>Frenzy Drink</x:v>
      </x:c>
      <x:c r="B246" s="12" t="str">
        <x:v>FRENZY DRINK</x:v>
      </x:c>
      <x:c r="C246" s="12" t="str">
        <x:v>tool</x:v>
      </x:c>
      <x:c r="D246" s="12" t="str">
        <x:v>consumable</x:v>
      </x:c>
      <x:c r="E246" s="12" t="str">
        <x:v>early</x:v>
      </x:c>
      <x:c r="F246" s="12" t="str">
        <x:v>uncommon</x:v>
      </x:c>
      <x:c r="G246" s="12" t="str">
        <x:v>Frenzy Drink — Contingency</x:v>
      </x:c>
      <x:c r="H246" s="34" t="n">
        <x:v>1</x:v>
      </x:c>
      <x:c r="I246" s="34" t="str">
        <x:v>reaction</x:v>
      </x:c>
      <x:c r="J246" s="34" t="str"/>
      <x:c r="K246" s="34" t="str"/>
      <x:c r="L246" s="34" t="str"/>
      <x:c r="M246" s="12" t="str"/>
      <x:c r="N246" s="12" t="str">
        <x:v>Tool, Survival, Retreat</x:v>
      </x:c>
      <x:c r="O246" s="12" t="str">
        <x:v>When a hunt or monster consequence is previewed, reduce it by 2; on retreat, preserve 1 gathered resource.</x:v>
      </x:c>
      <x:c r="P246" s="12" t="str">
        <x:v>When a hunt event, retreat roll, or monster consequence is previewed, reduce the penalty by 2. If retreating, preserve 1 gathered resource. If you play a third attack this round, gain Panic 1.</x:v>
      </x:c>
      <x:c r="Q246" s="12" t="str"/>
      <x:c r="R246" s="12" t="str">
        <x:v>quirk: frenzyCheck</x:v>
      </x:c>
      <x:c r="S246" s="12" t="str">
        <x:v>35c4715f6dec</x:v>
      </x:c>
      <x:c r="T246" s="12" t="n">
        <x:f>COUNTIF($S$2:$S$757,S246)</x:f>
        <x:v>1</x:v>
      </x:c>
      <x:c r="U246" s="12" t="str">
        <x:f>IF(T246=1,"OK","DUPLICATE")</x:f>
        <x:v>OK</x:v>
      </x:c>
    </x:row>
    <x:row r="247" ht="39.599998474121094" hidden="0" customHeight="1">
      <x:c r="A247" s="12" t="str">
        <x:v>Fur Armor Set</x:v>
      </x:c>
      <x:c r="B247" s="12" t="str">
        <x:v>FUR ARMOR SET</x:v>
      </x:c>
      <x:c r="C247" s="12" t="str">
        <x:v>set</x:v>
      </x:c>
      <x:c r="D247" s="12" t="str">
        <x:v>armor</x:v>
      </x:c>
      <x:c r="E247" s="12" t="str">
        <x:v>early</x:v>
      </x:c>
      <x:c r="F247" s="12" t="str">
        <x:v>uncommon</x:v>
      </x:c>
      <x:c r="G247" s="12" t="str">
        <x:v>Fur Armor Set — Brace</x:v>
      </x:c>
      <x:c r="H247" s="34" t="n">
        <x:v>1</x:v>
      </x:c>
      <x:c r="I247" s="34" t="str">
        <x:v>skill</x:v>
      </x:c>
      <x:c r="J247" s="34" t="str"/>
      <x:c r="K247" s="34" t="str"/>
      <x:c r="L247" s="34" t="n">
        <x:v>5</x:v>
      </x:c>
      <x:c r="M247" s="12" t="str"/>
      <x:c r="N247" s="12" t="str">
        <x:v>Defensive, Party, WoundCare</x:v>
      </x:c>
      <x:c r="O247" s="12" t="str">
        <x:v>Gain 5 block and Guarded 3. If hit before your next turn, reduce Marked or Panic by 1.</x:v>
      </x:c>
      <x:c r="P247" s="12" t="str">
        <x:v>Gain 5 block and Guarded 3. If the next monster hit lands before your next turn, reduce Marked or Panic by 1 after damage. If a tell is Open, add +2 to the listed damage or block value.</x:v>
      </x:c>
      <x:c r="Q247" s="12" t="str"/>
      <x:c r="R247" s="12" t="str">
        <x:v>quirk: openTell</x:v>
      </x:c>
      <x:c r="S247" s="12" t="str">
        <x:v>a0b9c6072a91</x:v>
      </x:c>
      <x:c r="T247" s="12" t="n">
        <x:f>COUNTIF($S$2:$S$757,S247)</x:f>
        <x:v>1</x:v>
      </x:c>
      <x:c r="U247" s="12" t="str">
        <x:f>IF(T247=1,"OK","DUPLICATE")</x:f>
        <x:v>OK</x:v>
      </x:c>
    </x:row>
    <x:row r="248" ht="39.599998474121094" hidden="0" customHeight="1">
      <x:c r="A248" s="12" t="str">
        <x:v>Fur Armor Set</x:v>
      </x:c>
      <x:c r="B248" s="12" t="str">
        <x:v>FUR ARMOR SET</x:v>
      </x:c>
      <x:c r="C248" s="12" t="str">
        <x:v>set</x:v>
      </x:c>
      <x:c r="D248" s="12" t="str">
        <x:v>armor</x:v>
      </x:c>
      <x:c r="E248" s="12" t="str">
        <x:v>early</x:v>
      </x:c>
      <x:c r="F248" s="12" t="str">
        <x:v>uncommon</x:v>
      </x:c>
      <x:c r="G248" s="12" t="str">
        <x:v>Fur Armor Set — Setline</x:v>
      </x:c>
      <x:c r="H248" s="34" t="n">
        <x:v>2</x:v>
      </x:c>
      <x:c r="I248" s="34" t="str">
        <x:v>reaction</x:v>
      </x:c>
      <x:c r="J248" s="34" t="str"/>
      <x:c r="K248" s="34" t="str"/>
      <x:c r="L248" s="34" t="n">
        <x:v>8</x:v>
      </x:c>
      <x:c r="M248" s="12" t="str"/>
      <x:c r="N248" s="12" t="str">
        <x:v>Defensive, Party, WoundCare, Reaction</x:v>
      </x:c>
      <x:c r="O248" s="12" t="str">
        <x:v>After damage is previewed, prevent 8 damage. Then give the next ally Guarded 1.</x:v>
      </x:c>
      <x:c r="P248" s="12" t="str">
        <x:v>After incoming damage is previewed, prevent 8 damage with the set slot. Then the next ally gains Guarded 1. If a tell is Open, add +2 to the listed damage or block value.</x:v>
      </x:c>
      <x:c r="Q248" s="12" t="str"/>
      <x:c r="R248" s="12" t="str">
        <x:v>quirk: openTell</x:v>
      </x:c>
      <x:c r="S248" s="12" t="str">
        <x:v>faf850c66fdf</x:v>
      </x:c>
      <x:c r="T248" s="12" t="n">
        <x:f>COUNTIF($S$2:$S$757,S248)</x:f>
        <x:v>1</x:v>
      </x:c>
      <x:c r="U248" s="12" t="str">
        <x:f>IF(T248=1,"OK","DUPLICATE")</x:f>
        <x:v>OK</x:v>
      </x:c>
    </x:row>
    <x:row r="249" ht="39.599998474121094" hidden="0" customHeight="1">
      <x:c r="A249" s="12" t="str">
        <x:v>Fur Kilt</x:v>
      </x:c>
      <x:c r="B249" s="12" t="str">
        <x:v>FUR KILT</x:v>
      </x:c>
      <x:c r="C249" s="12" t="str">
        <x:v>waist</x:v>
      </x:c>
      <x:c r="D249" s="12" t="str">
        <x:v>armor</x:v>
      </x:c>
      <x:c r="E249" s="12" t="str">
        <x:v>early</x:v>
      </x:c>
      <x:c r="F249" s="12" t="str">
        <x:v>uncommon</x:v>
      </x:c>
      <x:c r="G249" s="12" t="str">
        <x:v>Fur Kilt — Brace</x:v>
      </x:c>
      <x:c r="H249" s="34" t="n">
        <x:v>1</x:v>
      </x:c>
      <x:c r="I249" s="34" t="str">
        <x:v>skill</x:v>
      </x:c>
      <x:c r="J249" s="34" t="str"/>
      <x:c r="K249" s="34" t="str"/>
      <x:c r="L249" s="34" t="n">
        <x:v>2</x:v>
      </x:c>
      <x:c r="M249" s="12" t="str"/>
      <x:c r="N249" s="12" t="str">
        <x:v>Defensive, Party, WoundCare</x:v>
      </x:c>
      <x:c r="O249" s="12" t="str">
        <x:v>Gain 2 block and Guarded 1. If hit before your next turn, reduce Bleed or Panic by 1.</x:v>
      </x:c>
      <x:c r="P249" s="12" t="str">
        <x:v>Gain 2 block and Guarded 1. If the next monster hit lands before your next turn, reduce Bleed or Panic by 1 after damage. After use, Exhaust this equipment until the next monster turn.</x:v>
      </x:c>
      <x:c r="Q249" s="12" t="str"/>
      <x:c r="R249" s="12" t="str">
        <x:v>quirk: exhaust</x:v>
      </x:c>
      <x:c r="S249" s="12" t="str">
        <x:v>e6aea56c9e75</x:v>
      </x:c>
      <x:c r="T249" s="12" t="n">
        <x:f>COUNTIF($S$2:$S$757,S249)</x:f>
        <x:v>1</x:v>
      </x:c>
      <x:c r="U249" s="12" t="str">
        <x:f>IF(T249=1,"OK","DUPLICATE")</x:f>
        <x:v>OK</x:v>
      </x:c>
    </x:row>
    <x:row r="250" ht="39.599998474121094" hidden="0" customHeight="1">
      <x:c r="A250" s="12" t="str">
        <x:v>Fur Kilt</x:v>
      </x:c>
      <x:c r="B250" s="12" t="str">
        <x:v>FUR KILT</x:v>
      </x:c>
      <x:c r="C250" s="12" t="str">
        <x:v>waist</x:v>
      </x:c>
      <x:c r="D250" s="12" t="str">
        <x:v>armor</x:v>
      </x:c>
      <x:c r="E250" s="12" t="str">
        <x:v>early</x:v>
      </x:c>
      <x:c r="F250" s="12" t="str">
        <x:v>uncommon</x:v>
      </x:c>
      <x:c r="G250" s="12" t="str">
        <x:v>Fur Kilt — Fitted Plate</x:v>
      </x:c>
      <x:c r="H250" s="34" t="n">
        <x:v>1</x:v>
      </x:c>
      <x:c r="I250" s="34" t="str">
        <x:v>reaction</x:v>
      </x:c>
      <x:c r="J250" s="34" t="str"/>
      <x:c r="K250" s="34" t="str"/>
      <x:c r="L250" s="34" t="n">
        <x:v>3</x:v>
      </x:c>
      <x:c r="M250" s="12" t="str"/>
      <x:c r="N250" s="12" t="str">
        <x:v>Defensive, Party, WoundCare, Reaction</x:v>
      </x:c>
      <x:c r="O250" s="12" t="str">
        <x:v>After damage is previewed, prevent 3 damage. Then give the next ally Guarded 1.</x:v>
      </x:c>
      <x:c r="P250" s="12" t="str">
        <x:v>After incoming damage is previewed, prevent 3 damage with the waist slot. Then the next ally gains Guarded 1. After use, Exhaust this equipment until the next monster turn.</x:v>
      </x:c>
      <x:c r="Q250" s="12" t="str"/>
      <x:c r="R250" s="12" t="str">
        <x:v>quirk: exhaust</x:v>
      </x:c>
      <x:c r="S250" s="12" t="str">
        <x:v>3bbf41c8e6ad</x:v>
      </x:c>
      <x:c r="T250" s="12" t="n">
        <x:f>COUNTIF($S$2:$S$757,S250)</x:f>
        <x:v>1</x:v>
      </x:c>
      <x:c r="U250" s="12" t="str">
        <x:f>IF(T250=1,"OK","DUPLICATE")</x:f>
        <x:v>OK</x:v>
      </x:c>
    </x:row>
    <x:row r="251" ht="39.599998474121094" hidden="0" customHeight="1">
      <x:c r="A251" s="12" t="str">
        <x:v>Fur Leg Warmers</x:v>
      </x:c>
      <x:c r="B251" s="12" t="str">
        <x:v>FUR LEG WARMERS</x:v>
      </x:c>
      <x:c r="C251" s="12" t="str">
        <x:v>legs</x:v>
      </x:c>
      <x:c r="D251" s="12" t="str">
        <x:v>armor</x:v>
      </x:c>
      <x:c r="E251" s="12" t="str">
        <x:v>early</x:v>
      </x:c>
      <x:c r="F251" s="12" t="str">
        <x:v>uncommon</x:v>
      </x:c>
      <x:c r="G251" s="12" t="str">
        <x:v>Fur Leg Warmers — Brace</x:v>
      </x:c>
      <x:c r="H251" s="34" t="n">
        <x:v>1</x:v>
      </x:c>
      <x:c r="I251" s="34" t="str">
        <x:v>skill</x:v>
      </x:c>
      <x:c r="J251" s="34" t="str"/>
      <x:c r="K251" s="34" t="str"/>
      <x:c r="L251" s="34" t="n">
        <x:v>3</x:v>
      </x:c>
      <x:c r="M251" s="12" t="str"/>
      <x:c r="N251" s="12" t="str">
        <x:v>Defensive, Party, WoundCare</x:v>
      </x:c>
      <x:c r="O251" s="12" t="str">
        <x:v>Gain 3 block and Guarded 2. If hit before your next turn, reduce Burn or Panic by 1.</x:v>
      </x:c>
      <x:c r="P251" s="12" t="str">
        <x:v>Gain 3 block and Guarded 2. If the next monster hit lands before your next turn, reduce Burn or Panic by 1 after damage. On a failed harvest, keep one common fallback material.</x:v>
      </x:c>
      <x:c r="Q251" s="12" t="str"/>
      <x:c r="R251" s="12" t="str">
        <x:v>quirk: salvage</x:v>
      </x:c>
      <x:c r="S251" s="12" t="str">
        <x:v>9be7d26e94bc</x:v>
      </x:c>
      <x:c r="T251" s="12" t="n">
        <x:f>COUNTIF($S$2:$S$757,S251)</x:f>
        <x:v>1</x:v>
      </x:c>
      <x:c r="U251" s="12" t="str">
        <x:f>IF(T251=1,"OK","DUPLICATE")</x:f>
        <x:v>OK</x:v>
      </x:c>
    </x:row>
    <x:row r="252" ht="39.599998474121094" hidden="0" customHeight="1">
      <x:c r="A252" s="12" t="str">
        <x:v>Fur Leg Warmers</x:v>
      </x:c>
      <x:c r="B252" s="12" t="str">
        <x:v>FUR LEG WARMERS</x:v>
      </x:c>
      <x:c r="C252" s="12" t="str">
        <x:v>legs</x:v>
      </x:c>
      <x:c r="D252" s="12" t="str">
        <x:v>armor</x:v>
      </x:c>
      <x:c r="E252" s="12" t="str">
        <x:v>early</x:v>
      </x:c>
      <x:c r="F252" s="12" t="str">
        <x:v>uncommon</x:v>
      </x:c>
      <x:c r="G252" s="12" t="str">
        <x:v>Fur Leg Warmers — Fitted Plate</x:v>
      </x:c>
      <x:c r="H252" s="34" t="n">
        <x:v>2</x:v>
      </x:c>
      <x:c r="I252" s="34" t="str">
        <x:v>reaction</x:v>
      </x:c>
      <x:c r="J252" s="34" t="str"/>
      <x:c r="K252" s="34" t="str"/>
      <x:c r="L252" s="34" t="n">
        <x:v>5</x:v>
      </x:c>
      <x:c r="M252" s="12" t="str"/>
      <x:c r="N252" s="12" t="str">
        <x:v>Defensive, Party, WoundCare, Reaction</x:v>
      </x:c>
      <x:c r="O252" s="12" t="str">
        <x:v>After damage is previewed, prevent 5 damage. Then give the next ally Guarded 1.</x:v>
      </x:c>
      <x:c r="P252" s="12" t="str">
        <x:v>After incoming damage is previewed, prevent 5 damage with the legs slot. Then the next ally gains Guarded 1. On a failed harvest, keep one common fallback material.</x:v>
      </x:c>
      <x:c r="Q252" s="12" t="str"/>
      <x:c r="R252" s="12" t="str">
        <x:v>quirk: salvage</x:v>
      </x:c>
      <x:c r="S252" s="12" t="str">
        <x:v>3f969e9bf55c</x:v>
      </x:c>
      <x:c r="T252" s="12" t="n">
        <x:f>COUNTIF($S$2:$S$757,S252)</x:f>
        <x:v>1</x:v>
      </x:c>
      <x:c r="U252" s="12" t="str">
        <x:f>IF(T252=1,"OK","DUPLICATE")</x:f>
        <x:v>OK</x:v>
      </x:c>
    </x:row>
    <x:row r="253" ht="39.599998474121094" hidden="0" customHeight="1">
      <x:c r="A253" s="12" t="str">
        <x:v>Fur Mantle</x:v>
      </x:c>
      <x:c r="B253" s="12" t="str">
        <x:v>FUR MANTLE</x:v>
      </x:c>
      <x:c r="C253" s="12" t="str">
        <x:v>body</x:v>
      </x:c>
      <x:c r="D253" s="12" t="str">
        <x:v>armor</x:v>
      </x:c>
      <x:c r="E253" s="12" t="str">
        <x:v>early</x:v>
      </x:c>
      <x:c r="F253" s="12" t="str">
        <x:v>uncommon</x:v>
      </x:c>
      <x:c r="G253" s="12" t="str">
        <x:v>Fur Mantle — Brace</x:v>
      </x:c>
      <x:c r="H253" s="34" t="n">
        <x:v>1</x:v>
      </x:c>
      <x:c r="I253" s="34" t="str">
        <x:v>skill</x:v>
      </x:c>
      <x:c r="J253" s="34" t="str"/>
      <x:c r="K253" s="34" t="str"/>
      <x:c r="L253" s="34" t="n">
        <x:v>4</x:v>
      </x:c>
      <x:c r="M253" s="12" t="str"/>
      <x:c r="N253" s="12" t="str">
        <x:v>Defensive, Party, WoundCare</x:v>
      </x:c>
      <x:c r="O253" s="12" t="str">
        <x:v>Gain 4 block and Guarded 3. If hit before your next turn, reduce Poison or Panic by 1.</x:v>
      </x:c>
      <x:c r="P253" s="12" t="str">
        <x:v>Gain 4 block and Guarded 3. If the next monster hit lands before your next turn, reduce Poison or Panic by 1 after damage. If this is the only card you play this turn, gain +2 block.</x:v>
      </x:c>
      <x:c r="Q253" s="12" t="str"/>
      <x:c r="R253" s="12" t="str">
        <x:v>quirk: stance</x:v>
      </x:c>
      <x:c r="S253" s="12" t="str">
        <x:v>9f7df9505c01</x:v>
      </x:c>
      <x:c r="T253" s="12" t="n">
        <x:f>COUNTIF($S$2:$S$757,S253)</x:f>
        <x:v>1</x:v>
      </x:c>
      <x:c r="U253" s="12" t="str">
        <x:f>IF(T253=1,"OK","DUPLICATE")</x:f>
        <x:v>OK</x:v>
      </x:c>
    </x:row>
    <x:row r="254" ht="39.599998474121094" hidden="0" customHeight="1">
      <x:c r="A254" s="12" t="str">
        <x:v>Fur Mantle</x:v>
      </x:c>
      <x:c r="B254" s="12" t="str">
        <x:v>FUR MANTLE</x:v>
      </x:c>
      <x:c r="C254" s="12" t="str">
        <x:v>body</x:v>
      </x:c>
      <x:c r="D254" s="12" t="str">
        <x:v>armor</x:v>
      </x:c>
      <x:c r="E254" s="12" t="str">
        <x:v>early</x:v>
      </x:c>
      <x:c r="F254" s="12" t="str">
        <x:v>uncommon</x:v>
      </x:c>
      <x:c r="G254" s="12" t="str">
        <x:v>Fur Mantle — Fitted Plate</x:v>
      </x:c>
      <x:c r="H254" s="34" t="n">
        <x:v>1</x:v>
      </x:c>
      <x:c r="I254" s="34" t="str">
        <x:v>reaction</x:v>
      </x:c>
      <x:c r="J254" s="34" t="str"/>
      <x:c r="K254" s="34" t="str"/>
      <x:c r="L254" s="34" t="n">
        <x:v>7</x:v>
      </x:c>
      <x:c r="M254" s="12" t="str"/>
      <x:c r="N254" s="12" t="str">
        <x:v>Defensive, Party, WoundCare, Reaction</x:v>
      </x:c>
      <x:c r="O254" s="12" t="str">
        <x:v>After damage is previewed, prevent 7 damage. Then give the next ally Guarded 1.</x:v>
      </x:c>
      <x:c r="P254" s="12" t="str">
        <x:v>After incoming damage is previewed, prevent 7 damage with the body slot. Then the next ally gains Guarded 1. If this is the only card you play this turn, gain +2 block.</x:v>
      </x:c>
      <x:c r="Q254" s="12" t="str"/>
      <x:c r="R254" s="12" t="str">
        <x:v>quirk: stance</x:v>
      </x:c>
      <x:c r="S254" s="12" t="str">
        <x:v>405289fd5c12</x:v>
      </x:c>
      <x:c r="T254" s="12" t="n">
        <x:f>COUNTIF($S$2:$S$757,S254)</x:f>
        <x:v>1</x:v>
      </x:c>
      <x:c r="U254" s="12" t="str">
        <x:f>IF(T254=1,"OK","DUPLICATE")</x:f>
        <x:v>OK</x:v>
      </x:c>
    </x:row>
    <x:row r="255" ht="39.599998474121094" hidden="0" customHeight="1">
      <x:c r="A255" s="12" t="str">
        <x:v>Fur Websilk Cuffs</x:v>
      </x:c>
      <x:c r="B255" s="12" t="str">
        <x:v>FUR SILK CUFFS</x:v>
      </x:c>
      <x:c r="C255" s="12" t="str">
        <x:v>arms</x:v>
      </x:c>
      <x:c r="D255" s="12" t="str">
        <x:v>armor</x:v>
      </x:c>
      <x:c r="E255" s="12" t="str">
        <x:v>early</x:v>
      </x:c>
      <x:c r="F255" s="12" t="str">
        <x:v>uncommon</x:v>
      </x:c>
      <x:c r="G255" s="12" t="str">
        <x:v>Fur Websilk Cuffs — Brace</x:v>
      </x:c>
      <x:c r="H255" s="34" t="n">
        <x:v>1</x:v>
      </x:c>
      <x:c r="I255" s="34" t="str">
        <x:v>skill</x:v>
      </x:c>
      <x:c r="J255" s="34" t="str"/>
      <x:c r="K255" s="34" t="str"/>
      <x:c r="L255" s="34" t="n">
        <x:v>5</x:v>
      </x:c>
      <x:c r="M255" s="12" t="str"/>
      <x:c r="N255" s="12" t="str">
        <x:v>Defensive, Party, WoundCare</x:v>
      </x:c>
      <x:c r="O255" s="12" t="str">
        <x:v>Gain 5 block and Guarded 1. If hit before your next turn, reduce Snared or Panic by 1.</x:v>
      </x:c>
      <x:c r="P255" s="12" t="str">
        <x:v>Gain 5 block and Guarded 1. If the next monster hit lands before your next turn, reduce Snared or Panic by 1 after damage. If played after blocking, your next Counter gains +2 damage.</x:v>
      </x:c>
      <x:c r="Q255" s="12" t="str"/>
      <x:c r="R255" s="12" t="str">
        <x:v>quirk: counterReady</x:v>
      </x:c>
      <x:c r="S255" s="12" t="str">
        <x:v>012b0f9dd52c</x:v>
      </x:c>
      <x:c r="T255" s="12" t="n">
        <x:f>COUNTIF($S$2:$S$757,S255)</x:f>
        <x:v>1</x:v>
      </x:c>
      <x:c r="U255" s="12" t="str">
        <x:f>IF(T255=1,"OK","DUPLICATE")</x:f>
        <x:v>OK</x:v>
      </x:c>
    </x:row>
    <x:row r="256" ht="39.599998474121094" hidden="0" customHeight="1">
      <x:c r="A256" s="12" t="str">
        <x:v>Fur Websilk Cuffs</x:v>
      </x:c>
      <x:c r="B256" s="12" t="str">
        <x:v>FUR SILK CUFFS</x:v>
      </x:c>
      <x:c r="C256" s="12" t="str">
        <x:v>arms</x:v>
      </x:c>
      <x:c r="D256" s="12" t="str">
        <x:v>armor</x:v>
      </x:c>
      <x:c r="E256" s="12" t="str">
        <x:v>early</x:v>
      </x:c>
      <x:c r="F256" s="12" t="str">
        <x:v>uncommon</x:v>
      </x:c>
      <x:c r="G256" s="12" t="str">
        <x:v>Fur Websilk Cuffs — Fitted Plate</x:v>
      </x:c>
      <x:c r="H256" s="34" t="n">
        <x:v>2</x:v>
      </x:c>
      <x:c r="I256" s="34" t="str">
        <x:v>reaction</x:v>
      </x:c>
      <x:c r="J256" s="34" t="str"/>
      <x:c r="K256" s="34" t="str"/>
      <x:c r="L256" s="34" t="n">
        <x:v>6</x:v>
      </x:c>
      <x:c r="M256" s="12" t="str"/>
      <x:c r="N256" s="12" t="str">
        <x:v>Defensive, Party, WoundCare, Reaction</x:v>
      </x:c>
      <x:c r="O256" s="12" t="str">
        <x:v>After damage is previewed, prevent 6 damage. Then give the next ally Guarded 1.</x:v>
      </x:c>
      <x:c r="P256" s="12" t="str">
        <x:v>After incoming damage is previewed, prevent 6 damage with the arms slot. Then the next ally gains Guarded 1. If played after blocking, your next Counter gains +2 damage.</x:v>
      </x:c>
      <x:c r="Q256" s="12" t="str"/>
      <x:c r="R256" s="12" t="str">
        <x:v>quirk: counterReady</x:v>
      </x:c>
      <x:c r="S256" s="12" t="str">
        <x:v>fdf88c1e880a</x:v>
      </x:c>
      <x:c r="T256" s="12" t="n">
        <x:f>COUNTIF($S$2:$S$757,S256)</x:f>
        <x:v>1</x:v>
      </x:c>
      <x:c r="U256" s="12" t="str">
        <x:f>IF(T256=1,"OK","DUPLICATE")</x:f>
        <x:v>OK</x:v>
      </x:c>
    </x:row>
    <x:row r="257" ht="39.599998474121094" hidden="0" customHeight="1">
      <x:c r="A257" s="12" t="str">
        <x:v>Gaxe</x:v>
      </x:c>
      <x:c r="B257" s="12" t="str">
        <x:v>GAXE</x:v>
      </x:c>
      <x:c r="C257" s="12" t="str">
        <x:v>weapon</x:v>
      </x:c>
      <x:c r="D257" s="12" t="str">
        <x:v>axe</x:v>
      </x:c>
      <x:c r="E257" s="12" t="str">
        <x:v>mid</x:v>
      </x:c>
      <x:c r="F257" s="12" t="str">
        <x:v>uncommon</x:v>
      </x:c>
      <x:c r="G257" s="12" t="str">
        <x:v>Gaxe — Opening Strike</x:v>
      </x:c>
      <x:c r="H257" s="34" t="n">
        <x:v>1</x:v>
      </x:c>
      <x:c r="I257" s="34" t="str">
        <x:v>attack</x:v>
      </x:c>
      <x:c r="J257" s="34" t="n">
        <x:v>5</x:v>
      </x:c>
      <x:c r="K257" s="34" t="n">
        <x:v>3</x:v>
      </x:c>
      <x:c r="L257" s="34" t="str"/>
      <x:c r="M257" s="12" t="str">
        <x:v>Poison 2 | Target: Gorm</x:v>
      </x:c>
      <x:c r="N257" s="12" t="str">
        <x:v>Heavy, Brutal, Harvest, Attack</x:v>
      </x:c>
      <x:c r="O257" s="12" t="str">
        <x:v>Deal 5 damage. Apply Poison 2 if the target has a Gorm weak point, otherwise gain Marked 1.</x:v>
      </x:c>
      <x:c r="P257" s="12" t="str">
        <x:v>Deal 5 damage with Gaxe. Apply Poison 2 against a matching Gorm weak point; otherwise apply Marked 1. On a failed harvest, keep one common fallback material.</x:v>
      </x:c>
      <x:c r="Q257" s="12" t="str"/>
      <x:c r="R257" s="12" t="str">
        <x:v>quirk: salvage</x:v>
      </x:c>
      <x:c r="S257" s="12" t="str">
        <x:v>35fe95ae48c9</x:v>
      </x:c>
      <x:c r="T257" s="12" t="n">
        <x:f>COUNTIF($S$2:$S$757,S257)</x:f>
        <x:v>1</x:v>
      </x:c>
      <x:c r="U257" s="12" t="str">
        <x:f>IF(T257=1,"OK","DUPLICATE")</x:f>
        <x:v>OK</x:v>
      </x:c>
    </x:row>
    <x:row r="258" ht="39.599998474121094" hidden="0" customHeight="1">
      <x:c r="A258" s="12" t="str">
        <x:v>Gaxe</x:v>
      </x:c>
      <x:c r="B258" s="12" t="str">
        <x:v>GAXE</x:v>
      </x:c>
      <x:c r="C258" s="12" t="str">
        <x:v>weapon</x:v>
      </x:c>
      <x:c r="D258" s="12" t="str">
        <x:v>axe</x:v>
      </x:c>
      <x:c r="E258" s="12" t="str">
        <x:v>mid</x:v>
      </x:c>
      <x:c r="F258" s="12" t="str">
        <x:v>uncommon</x:v>
      </x:c>
      <x:c r="G258" s="12" t="str">
        <x:v>Gaxe — Technique</x:v>
      </x:c>
      <x:c r="H258" s="34" t="n">
        <x:v>2</x:v>
      </x:c>
      <x:c r="I258" s="34" t="str">
        <x:v>skill</x:v>
      </x:c>
      <x:c r="J258" s="34" t="str"/>
      <x:c r="K258" s="34" t="str"/>
      <x:c r="L258" s="34" t="n">
        <x:v>3</x:v>
      </x:c>
      <x:c r="M258" s="12" t="str">
        <x:v>Opens: True</x:v>
      </x:c>
      <x:c r="N258" s="12" t="str">
        <x:v>Heavy, Brutal, Harvest, Setup</x:v>
      </x:c>
      <x:c r="O258" s="12" t="str">
        <x:v>Commit to a heavy chop; +3 break damage but failed fragile harvests worsen by one step. Also gain 3 block; If the quarry is Marked, add +1 to one listed value.</x:v>
      </x:c>
      <x:c r="P258" s="12" t="str">
        <x:v>Commit to a heavy chop; +3 break damage but failed fragile harvests worsen by one step. Gain 3 block. On a failed harvest, keep one common fallback material. If the quarry is Marked, add +1 to one listed value.</x:v>
      </x:c>
      <x:c r="Q258" s="12" t="str"/>
      <x:c r="R258" s="12" t="str">
        <x:v>quirk: salvage+markedPressure | visibleUnique:markedPressure</x:v>
      </x:c>
      <x:c r="S258" s="12" t="str">
        <x:v>8b9dd40b191f</x:v>
      </x:c>
      <x:c r="T258" s="12" t="n">
        <x:f>COUNTIF($S$2:$S$757,S258)</x:f>
        <x:v>1</x:v>
      </x:c>
      <x:c r="U258" s="12" t="str">
        <x:f>IF(T258=1,"OK","DUPLICATE")</x:f>
        <x:v>OK</x:v>
      </x:c>
    </x:row>
    <x:row r="259" ht="26.399999618530273" hidden="0" customHeight="1">
      <x:c r="A259" s="12" t="str">
        <x:v>Gaxe</x:v>
      </x:c>
      <x:c r="B259" s="12" t="str">
        <x:v>GAXE</x:v>
      </x:c>
      <x:c r="C259" s="12" t="str">
        <x:v>weapon</x:v>
      </x:c>
      <x:c r="D259" s="12" t="str">
        <x:v>axe</x:v>
      </x:c>
      <x:c r="E259" s="12" t="str">
        <x:v>mid</x:v>
      </x:c>
      <x:c r="F259" s="12" t="str">
        <x:v>uncommon</x:v>
      </x:c>
      <x:c r="G259" s="12" t="str">
        <x:v>Gaxe — Payoff</x:v>
      </x:c>
      <x:c r="H259" s="34" t="n">
        <x:v>3</x:v>
      </x:c>
      <x:c r="I259" s="34" t="str">
        <x:v>attack</x:v>
      </x:c>
      <x:c r="J259" s="34" t="n">
        <x:v>7</x:v>
      </x:c>
      <x:c r="K259" s="34" t="n">
        <x:v>4</x:v>
      </x:c>
      <x:c r="L259" s="34" t="str"/>
      <x:c r="M259" s="12" t="str">
        <x:v>Poison 1</x:v>
      </x:c>
      <x:c r="N259" s="12" t="str">
        <x:v>Heavy, Brutal, Harvest, Payoff, WeakPoint</x:v>
      </x:c>
      <x:c r="O259" s="12" t="str">
        <x:v>Deal 7 damage and 4 break damage. If this breaks a weak point, resolve Poison 1 and the salvage rider.</x:v>
      </x:c>
      <x:c r="P259" s="12" t="str">
        <x:v>Deal 7 damage and 4 break damage. If the weak point breaks, apply Poison 1 and resolve: On a failed harvest, keep one common fallback material.</x:v>
      </x:c>
      <x:c r="Q259" s="12" t="str"/>
      <x:c r="R259" s="12" t="str">
        <x:v>quirk: salvage | countsAsCounter False, firstCounterFree False</x:v>
      </x:c>
      <x:c r="S259" s="12" t="str">
        <x:v>3ba5b1966d42</x:v>
      </x:c>
      <x:c r="T259" s="12" t="n">
        <x:f>COUNTIF($S$2:$S$757,S259)</x:f>
        <x:v>1</x:v>
      </x:c>
      <x:c r="U259" s="12" t="str">
        <x:f>IF(T259=1,"OK","DUPLICATE")</x:f>
        <x:v>OK</x:v>
      </x:c>
    </x:row>
    <x:row r="260" ht="39.599998474121094" hidden="0" customHeight="1">
      <x:c r="A260" s="12" t="str">
        <x:v>Gloom Bracelets</x:v>
      </x:c>
      <x:c r="B260" s="12" t="str">
        <x:v>GLOOM BRACELETS</x:v>
      </x:c>
      <x:c r="C260" s="12" t="str">
        <x:v>arms</x:v>
      </x:c>
      <x:c r="D260" s="12" t="str">
        <x:v>tool</x:v>
      </x:c>
      <x:c r="E260" s="12" t="str">
        <x:v>mid</x:v>
      </x:c>
      <x:c r="F260" s="12" t="str">
        <x:v>uncommon</x:v>
      </x:c>
      <x:c r="G260" s="12" t="str">
        <x:v>Gloom Bracelets — Use</x:v>
      </x:c>
      <x:c r="H260" s="34" t="n">
        <x:v>1</x:v>
      </x:c>
      <x:c r="I260" s="34" t="str">
        <x:v>skill</x:v>
      </x:c>
      <x:c r="J260" s="34" t="str"/>
      <x:c r="K260" s="34" t="str"/>
      <x:c r="L260" s="34" t="str"/>
      <x:c r="M260" s="12" t="str">
        <x:v>Blind 3</x:v>
      </x:c>
      <x:c r="N260" s="12" t="str">
        <x:v>Tool, Harvest, Retreat</x:v>
      </x:c>
      <x:c r="O260" s="12" t="str">
        <x:v>Gain +4 to the next harvest, retreat, or weak-point test. If it fails, apply Blind 3 to the quarry or clear it from a survivor.</x:v>
      </x:c>
      <x:c r="P260" s="12" t="str">
        <x:v>Gain +4 to the next harvest, retreat, or weak-point test linked to Light Forging. On failure, either apply Blind 3 to the quarry or clear that status from a survivor. If the quarry is below half HP, add +1 break damage.</x:v>
      </x:c>
      <x:c r="Q260" s="12" t="str"/>
      <x:c r="R260" s="12" t="str">
        <x:v>quirk: bloodied</x:v>
      </x:c>
      <x:c r="S260" s="12" t="str">
        <x:v>0d707947cc70</x:v>
      </x:c>
      <x:c r="T260" s="12" t="n">
        <x:f>COUNTIF($S$2:$S$757,S260)</x:f>
        <x:v>1</x:v>
      </x:c>
      <x:c r="U260" s="12" t="str">
        <x:f>IF(T260=1,"OK","DUPLICATE")</x:f>
        <x:v>OK</x:v>
      </x:c>
    </x:row>
    <x:row r="261" ht="39.599998474121094" hidden="0" customHeight="1">
      <x:c r="A261" s="12" t="str">
        <x:v>Gloom Bracelets</x:v>
      </x:c>
      <x:c r="B261" s="12" t="str">
        <x:v>GLOOM BRACELETS</x:v>
      </x:c>
      <x:c r="C261" s="12" t="str">
        <x:v>arms</x:v>
      </x:c>
      <x:c r="D261" s="12" t="str">
        <x:v>tool</x:v>
      </x:c>
      <x:c r="E261" s="12" t="str">
        <x:v>mid</x:v>
      </x:c>
      <x:c r="F261" s="12" t="str">
        <x:v>uncommon</x:v>
      </x:c>
      <x:c r="G261" s="12" t="str">
        <x:v>Gloom Bracelets — Contingency</x:v>
      </x:c>
      <x:c r="H261" s="34" t="n">
        <x:v>1</x:v>
      </x:c>
      <x:c r="I261" s="34" t="str">
        <x:v>reaction</x:v>
      </x:c>
      <x:c r="J261" s="34" t="str"/>
      <x:c r="K261" s="34" t="str"/>
      <x:c r="L261" s="34" t="str"/>
      <x:c r="M261" s="12" t="str"/>
      <x:c r="N261" s="12" t="str">
        <x:v>Tool, Harvest, Retreat</x:v>
      </x:c>
      <x:c r="O261" s="12" t="str">
        <x:v>When a hunt or monster consequence is previewed, reduce it by 4; on retreat, preserve 2 gathered resource.</x:v>
      </x:c>
      <x:c r="P261" s="12" t="str">
        <x:v>When a hunt event, retreat roll, or monster consequence is previewed, reduce the penalty by 4. If retreating, preserve 2 gathered resource. If the quarry is below half HP, add +1 break damage.</x:v>
      </x:c>
      <x:c r="Q261" s="12" t="str"/>
      <x:c r="R261" s="12" t="str">
        <x:v>quirk: bloodied</x:v>
      </x:c>
      <x:c r="S261" s="12" t="str">
        <x:v>d2a4eaa03121</x:v>
      </x:c>
      <x:c r="T261" s="12" t="n">
        <x:f>COUNTIF($S$2:$S$757,S261)</x:f>
        <x:v>1</x:v>
      </x:c>
      <x:c r="U261" s="12" t="str">
        <x:f>IF(T261=1,"OK","DUPLICATE")</x:f>
        <x:v>OK</x:v>
      </x:c>
    </x:row>
    <x:row r="262" ht="39.599998474121094" hidden="0" customHeight="1">
      <x:c r="A262" s="12" t="str">
        <x:v>Gloom Cream</x:v>
      </x:c>
      <x:c r="B262" s="12" t="str">
        <x:v>GLOOM CREAM</x:v>
      </x:c>
      <x:c r="C262" s="12" t="str">
        <x:v>tool</x:v>
      </x:c>
      <x:c r="D262" s="12" t="str">
        <x:v>tool</x:v>
      </x:c>
      <x:c r="E262" s="12" t="str">
        <x:v>mid</x:v>
      </x:c>
      <x:c r="F262" s="12" t="str">
        <x:v>uncommon</x:v>
      </x:c>
      <x:c r="G262" s="12" t="str">
        <x:v>Gloom Cream — Use</x:v>
      </x:c>
      <x:c r="H262" s="34" t="n">
        <x:v>0</x:v>
      </x:c>
      <x:c r="I262" s="34" t="str">
        <x:v>skill</x:v>
      </x:c>
      <x:c r="J262" s="34" t="str"/>
      <x:c r="K262" s="34" t="str"/>
      <x:c r="L262" s="34" t="str"/>
      <x:c r="M262" s="12" t="str">
        <x:v>Stagger 1</x:v>
      </x:c>
      <x:c r="N262" s="12" t="str">
        <x:v>Tool, Harvest, Retreat</x:v>
      </x:c>
      <x:c r="O262" s="12" t="str">
        <x:v>Gain +2 to the next harvest, retreat, or weak-point test. If it fails, apply Stagger 1 to the quarry or clear it from a survivor.</x:v>
      </x:c>
      <x:c r="P262" s="12" t="str">
        <x:v>Gain +2 to the next harvest, retreat, or weak-point test linked to Light Forging. On failure, either apply Stagger 1 to the quarry or clear that status from a survivor. If the quarry is Marked, draw 1 then discard 1.</x:v>
      </x:c>
      <x:c r="Q262" s="12" t="str"/>
      <x:c r="R262" s="12" t="str">
        <x:v>quirk: marked</x:v>
      </x:c>
      <x:c r="S262" s="12" t="str">
        <x:v>808b25a10adc</x:v>
      </x:c>
      <x:c r="T262" s="12" t="n">
        <x:f>COUNTIF($S$2:$S$757,S262)</x:f>
        <x:v>1</x:v>
      </x:c>
      <x:c r="U262" s="12" t="str">
        <x:f>IF(T262=1,"OK","DUPLICATE")</x:f>
        <x:v>OK</x:v>
      </x:c>
    </x:row>
    <x:row r="263" ht="39.599998474121094" hidden="0" customHeight="1">
      <x:c r="A263" s="12" t="str">
        <x:v>Gloom Cream</x:v>
      </x:c>
      <x:c r="B263" s="12" t="str">
        <x:v>GLOOM CREAM</x:v>
      </x:c>
      <x:c r="C263" s="12" t="str">
        <x:v>tool</x:v>
      </x:c>
      <x:c r="D263" s="12" t="str">
        <x:v>tool</x:v>
      </x:c>
      <x:c r="E263" s="12" t="str">
        <x:v>mid</x:v>
      </x:c>
      <x:c r="F263" s="12" t="str">
        <x:v>uncommon</x:v>
      </x:c>
      <x:c r="G263" s="12" t="str">
        <x:v>Gloom Cream — Contingency</x:v>
      </x:c>
      <x:c r="H263" s="34" t="n">
        <x:v>1</x:v>
      </x:c>
      <x:c r="I263" s="34" t="str">
        <x:v>reaction</x:v>
      </x:c>
      <x:c r="J263" s="34" t="str"/>
      <x:c r="K263" s="34" t="str"/>
      <x:c r="L263" s="34" t="str"/>
      <x:c r="M263" s="12" t="str"/>
      <x:c r="N263" s="12" t="str">
        <x:v>Tool, Harvest, Retreat</x:v>
      </x:c>
      <x:c r="O263" s="12" t="str">
        <x:v>When a hunt or monster consequence is previewed, reduce it by 2; on retreat, preserve 1 gathered resource; After this resolves, the lowest-HP ally gains Guarded 1.</x:v>
      </x:c>
      <x:c r="P263" s="12" t="str">
        <x:v>When a hunt event, retreat roll, or monster consequence is previewed, reduce the penalty by 2. If retreating, preserve 1 gathered resource. If the quarry is Marked, draw 1 then discard 1. After this resolves, the lowest-HP ally gains Guarded 1.</x:v>
      </x:c>
      <x:c r="Q263" s="12" t="str"/>
      <x:c r="R263" s="12" t="str">
        <x:v>quirk: marked+allyCover | visibleUnique:allyCover</x:v>
      </x:c>
      <x:c r="S263" s="12" t="str">
        <x:v>1a01cccbb448</x:v>
      </x:c>
      <x:c r="T263" s="12" t="n">
        <x:f>COUNTIF($S$2:$S$757,S263)</x:f>
        <x:v>1</x:v>
      </x:c>
      <x:c r="U263" s="12" t="str">
        <x:f>IF(T263=1,"OK","DUPLICATE")</x:f>
        <x:v>OK</x:v>
      </x:c>
    </x:row>
    <x:row r="264" ht="26.399999618530273" hidden="0" customHeight="1">
      <x:c r="A264" s="12" t="str">
        <x:v>Gloom Drum (Hunt Phase)</x:v>
      </x:c>
      <x:c r="B264" s="12" t="str">
        <x:v>GLOOM DRUM (HUNT PHASE)</x:v>
      </x:c>
      <x:c r="C264" s="12" t="str">
        <x:v>tool</x:v>
      </x:c>
      <x:c r="D264" s="12" t="str">
        <x:v>instrument</x:v>
      </x:c>
      <x:c r="E264" s="12" t="str">
        <x:v>early</x:v>
      </x:c>
      <x:c r="F264" s="12" t="str">
        <x:v>uncommon</x:v>
      </x:c>
      <x:c r="G264" s="12" t="str">
        <x:v>Gloom Drum (Hunt Phase) — Hunt Call</x:v>
      </x:c>
      <x:c r="H264" s="34" t="n">
        <x:v>1</x:v>
      </x:c>
      <x:c r="I264" s="34" t="str">
        <x:v>support</x:v>
      </x:c>
      <x:c r="J264" s="34" t="str"/>
      <x:c r="K264" s="34" t="str"/>
      <x:c r="L264" s="34" t="n">
        <x:v>5</x:v>
      </x:c>
      <x:c r="M264" s="12" t="str"/>
      <x:c r="N264" s="12" t="str">
        <x:v>Support, Party, Panic</x:v>
      </x:c>
      <x:c r="O264" s="12" t="str">
        <x:v>Chosen ally gains 5 block and Prepared 2. Gain Panic 1.</x:v>
      </x:c>
      <x:c r="P264" s="12" t="str">
        <x:v>Chosen ally gains 5 block and Prepared 2. If the phase is wrong for this item, also gain Panic 1. If you have Guarded, convert 1 Guarded into +2 damage.</x:v>
      </x:c>
      <x:c r="Q264" s="12" t="str"/>
      <x:c r="R264" s="12" t="str">
        <x:v>quirk: guarded</x:v>
      </x:c>
      <x:c r="S264" s="12" t="str">
        <x:v>5f9c55102a48</x:v>
      </x:c>
      <x:c r="T264" s="12" t="n">
        <x:f>COUNTIF($S$2:$S$757,S264)</x:f>
        <x:v>1</x:v>
      </x:c>
      <x:c r="U264" s="12" t="str">
        <x:f>IF(T264=1,"OK","DUPLICATE")</x:f>
        <x:v>OK</x:v>
      </x:c>
    </x:row>
    <x:row r="265" ht="39.599998474121094" hidden="0" customHeight="1">
      <x:c r="A265" s="12" t="str">
        <x:v>Gloom Drum (Hunt Phase)</x:v>
      </x:c>
      <x:c r="B265" s="12" t="str">
        <x:v>GLOOM DRUM (HUNT PHASE)</x:v>
      </x:c>
      <x:c r="C265" s="12" t="str">
        <x:v>tool</x:v>
      </x:c>
      <x:c r="D265" s="12" t="str">
        <x:v>instrument</x:v>
      </x:c>
      <x:c r="E265" s="12" t="str">
        <x:v>early</x:v>
      </x:c>
      <x:c r="F265" s="12" t="str">
        <x:v>uncommon</x:v>
      </x:c>
      <x:c r="G265" s="12" t="str">
        <x:v>Gloom Drum (Hunt Phase) — Echo</x:v>
      </x:c>
      <x:c r="H265" s="34" t="n">
        <x:v>0</x:v>
      </x:c>
      <x:c r="I265" s="34" t="str">
        <x:v>reaction</x:v>
      </x:c>
      <x:c r="J265" s="34" t="str"/>
      <x:c r="K265" s="34" t="str"/>
      <x:c r="L265" s="34" t="str"/>
      <x:c r="M265" s="12" t="str"/>
      <x:c r="N265" s="12" t="str">
        <x:v>Support, Party, Panic</x:v>
      </x:c>
      <x:c r="O265" s="12" t="str">
        <x:v>After an ally breaks a weak point, give the next ally Guarded 1 or clear Panic 2.</x:v>
      </x:c>
      <x:c r="P265" s="12" t="str">
        <x:v>After an ally breaks a weak point or survives a hunt event, choose: next ally gains Guarded 1, or clear Panic 2. If you have Guarded, convert 1 Guarded into +2 damage.</x:v>
      </x:c>
      <x:c r="Q265" s="12" t="str"/>
      <x:c r="R265" s="12" t="str">
        <x:v>quirk: guarded</x:v>
      </x:c>
      <x:c r="S265" s="12" t="str">
        <x:v>09192eeb8dfc</x:v>
      </x:c>
      <x:c r="T265" s="12" t="n">
        <x:f>COUNTIF($S$2:$S$757,S265)</x:f>
        <x:v>1</x:v>
      </x:c>
      <x:c r="U265" s="12" t="str">
        <x:f>IF(T265=1,"OK","DUPLICATE")</x:f>
        <x:v>OK</x:v>
      </x:c>
    </x:row>
    <x:row r="266" ht="26.399999618530273" hidden="0" customHeight="1">
      <x:c r="A266" s="12" t="str">
        <x:v>Gloom Drum (Showdown Phase)</x:v>
      </x:c>
      <x:c r="B266" s="12" t="str">
        <x:v>GLOOM DRUM (SHOWDOWN PHASE)</x:v>
      </x:c>
      <x:c r="C266" s="12" t="str">
        <x:v>tool</x:v>
      </x:c>
      <x:c r="D266" s="12" t="str">
        <x:v>instrument</x:v>
      </x:c>
      <x:c r="E266" s="12" t="str">
        <x:v>early</x:v>
      </x:c>
      <x:c r="F266" s="12" t="str">
        <x:v>uncommon</x:v>
      </x:c>
      <x:c r="G266" s="12" t="str">
        <x:v>Gloom Drum (Showdown Phase) — War Call</x:v>
      </x:c>
      <x:c r="H266" s="34" t="n">
        <x:v>1</x:v>
      </x:c>
      <x:c r="I266" s="34" t="str">
        <x:v>support</x:v>
      </x:c>
      <x:c r="J266" s="34" t="str"/>
      <x:c r="K266" s="34" t="str"/>
      <x:c r="L266" s="34" t="n">
        <x:v>2</x:v>
      </x:c>
      <x:c r="M266" s="12" t="str"/>
      <x:c r="N266" s="12" t="str">
        <x:v>Support, Party, Panic</x:v>
      </x:c>
      <x:c r="O266" s="12" t="str">
        <x:v>Chosen ally gains 2 block and Prepared 3. Gain Panic 1.</x:v>
      </x:c>
      <x:c r="P266" s="12" t="str">
        <x:v>Chosen ally gains 2 block and Prepared 3. If the phase is wrong for this item, also gain Panic 1. If you have any wound, add +1 damage but gain Panic 1.</x:v>
      </x:c>
      <x:c r="Q266" s="12" t="str"/>
      <x:c r="R266" s="12" t="str">
        <x:v>quirk: wounded</x:v>
      </x:c>
      <x:c r="S266" s="12" t="str">
        <x:v>b728d6c4260d</x:v>
      </x:c>
      <x:c r="T266" s="12" t="n">
        <x:f>COUNTIF($S$2:$S$757,S266)</x:f>
        <x:v>1</x:v>
      </x:c>
      <x:c r="U266" s="12" t="str">
        <x:f>IF(T266=1,"OK","DUPLICATE")</x:f>
        <x:v>OK</x:v>
      </x:c>
    </x:row>
    <x:row r="267" ht="39.599998474121094" hidden="0" customHeight="1">
      <x:c r="A267" s="12" t="str">
        <x:v>Gloom Drum (Showdown Phase)</x:v>
      </x:c>
      <x:c r="B267" s="12" t="str">
        <x:v>GLOOM DRUM (SHOWDOWN PHASE)</x:v>
      </x:c>
      <x:c r="C267" s="12" t="str">
        <x:v>tool</x:v>
      </x:c>
      <x:c r="D267" s="12" t="str">
        <x:v>instrument</x:v>
      </x:c>
      <x:c r="E267" s="12" t="str">
        <x:v>early</x:v>
      </x:c>
      <x:c r="F267" s="12" t="str">
        <x:v>uncommon</x:v>
      </x:c>
      <x:c r="G267" s="12" t="str">
        <x:v>Gloom Drum (Showdown Phase) — Echo</x:v>
      </x:c>
      <x:c r="H267" s="34" t="n">
        <x:v>1</x:v>
      </x:c>
      <x:c r="I267" s="34" t="str">
        <x:v>reaction</x:v>
      </x:c>
      <x:c r="J267" s="34" t="str"/>
      <x:c r="K267" s="34" t="str"/>
      <x:c r="L267" s="34" t="str"/>
      <x:c r="M267" s="12" t="str"/>
      <x:c r="N267" s="12" t="str">
        <x:v>Support, Party, Panic</x:v>
      </x:c>
      <x:c r="O267" s="12" t="str">
        <x:v>After an ally breaks a weak point, give the next ally Guarded 1 or clear Panic 3.</x:v>
      </x:c>
      <x:c r="P267" s="12" t="str">
        <x:v>After an ally breaks a weak point or survives a hunt event, choose: next ally gains Guarded 1, or clear Panic 3. If you have any wound, add +1 damage but gain Panic 1.</x:v>
      </x:c>
      <x:c r="Q267" s="12" t="str"/>
      <x:c r="R267" s="12" t="str">
        <x:v>quirk: wounded</x:v>
      </x:c>
      <x:c r="S267" s="12" t="str">
        <x:v>5a4989fa1b54</x:v>
      </x:c>
      <x:c r="T267" s="12" t="n">
        <x:f>COUNTIF($S$2:$S$757,S267)</x:f>
        <x:v>1</x:v>
      </x:c>
      <x:c r="U267" s="12" t="str">
        <x:f>IF(T267=1,"OK","DUPLICATE")</x:f>
        <x:v>OK</x:v>
      </x:c>
    </x:row>
    <x:row r="268" ht="39.599998474121094" hidden="0" customHeight="1">
      <x:c r="A268" s="12" t="str">
        <x:v>Gloom Hammer</x:v>
      </x:c>
      <x:c r="B268" s="12" t="str">
        <x:v>GLOOM HAMMER</x:v>
      </x:c>
      <x:c r="C268" s="12" t="str">
        <x:v>weapon</x:v>
      </x:c>
      <x:c r="D268" s="12" t="str">
        <x:v>hammer</x:v>
      </x:c>
      <x:c r="E268" s="12" t="str">
        <x:v>mid</x:v>
      </x:c>
      <x:c r="F268" s="12" t="str">
        <x:v>uncommon</x:v>
      </x:c>
      <x:c r="G268" s="12" t="str">
        <x:v>Gloom Hammer — Opening Strike</x:v>
      </x:c>
      <x:c r="H268" s="34" t="n">
        <x:v>1</x:v>
      </x:c>
      <x:c r="I268" s="34" t="str">
        <x:v>attack</x:v>
      </x:c>
      <x:c r="J268" s="34" t="n">
        <x:v>5</x:v>
      </x:c>
      <x:c r="K268" s="34" t="n">
        <x:v>3</x:v>
      </x:c>
      <x:c r="L268" s="34" t="str"/>
      <x:c r="M268" s="12" t="str">
        <x:v>Bleed 1 | Target: Lonely Tree/Light</x:v>
      </x:c>
      <x:c r="N268" s="12" t="str">
        <x:v>Heavy, Guardbreaker, WeakPoint, Attack</x:v>
      </x:c>
      <x:c r="O268" s="12" t="str">
        <x:v>Deal 5 damage. Apply Bleed 1 if the target has a Lonely Tree/Light weak point, otherwise gain Marked 1.</x:v>
      </x:c>
      <x:c r="P268" s="12" t="str">
        <x:v>Deal 5 damage with Gloom Hammer. Apply Bleed 1 against a matching Lonely Tree/Light weak point; otherwise apply Marked 1. The quarry targets this survivor next unless another card redirects it.</x:v>
      </x:c>
      <x:c r="Q268" s="12" t="str"/>
      <x:c r="R268" s="12" t="str">
        <x:v>quirk: bait</x:v>
      </x:c>
      <x:c r="S268" s="12" t="str">
        <x:v>0391cf40ad3e</x:v>
      </x:c>
      <x:c r="T268" s="12" t="n">
        <x:f>COUNTIF($S$2:$S$757,S268)</x:f>
        <x:v>1</x:v>
      </x:c>
      <x:c r="U268" s="12" t="str">
        <x:f>IF(T268=1,"OK","DUPLICATE")</x:f>
        <x:v>OK</x:v>
      </x:c>
    </x:row>
    <x:row r="269" ht="39.599998474121094" hidden="0" customHeight="1">
      <x:c r="A269" s="12" t="str">
        <x:v>Gloom Hammer</x:v>
      </x:c>
      <x:c r="B269" s="12" t="str">
        <x:v>GLOOM HAMMER</x:v>
      </x:c>
      <x:c r="C269" s="12" t="str">
        <x:v>weapon</x:v>
      </x:c>
      <x:c r="D269" s="12" t="str">
        <x:v>hammer</x:v>
      </x:c>
      <x:c r="E269" s="12" t="str">
        <x:v>mid</x:v>
      </x:c>
      <x:c r="F269" s="12" t="str">
        <x:v>uncommon</x:v>
      </x:c>
      <x:c r="G269" s="12" t="str">
        <x:v>Gloom Hammer — Technique</x:v>
      </x:c>
      <x:c r="H269" s="34" t="n">
        <x:v>2</x:v>
      </x:c>
      <x:c r="I269" s="34" t="str">
        <x:v>skill</x:v>
      </x:c>
      <x:c r="J269" s="34" t="str"/>
      <x:c r="K269" s="34" t="str"/>
      <x:c r="L269" s="34" t="n">
        <x:v>2</x:v>
      </x:c>
      <x:c r="M269" s="12" t="str">
        <x:v>Opens: True</x:v>
      </x:c>
      <x:c r="N269" s="12" t="str">
        <x:v>Heavy, Guardbreaker, WeakPoint, Setup</x:v>
      </x:c>
      <x:c r="O269" s="12" t="str">
        <x:v>Crack shell or bone; apply Exposed 1 and reduce the next block gained by the quarry by 2. Also gain 2 block.</x:v>
      </x:c>
      <x:c r="P269" s="12" t="str">
        <x:v>Crack shell or bone; apply Exposed 1 and reduce the next block gained by the quarry by 2. Gain 2 block. The quarry targets this survivor next unless another card redirects it.</x:v>
      </x:c>
      <x:c r="Q269" s="12" t="str"/>
      <x:c r="R269" s="12" t="str">
        <x:v>quirk: bait</x:v>
      </x:c>
      <x:c r="S269" s="12" t="str">
        <x:v>468fe233ec0d</x:v>
      </x:c>
      <x:c r="T269" s="12" t="n">
        <x:f>COUNTIF($S$2:$S$757,S269)</x:f>
        <x:v>1</x:v>
      </x:c>
      <x:c r="U269" s="12" t="str">
        <x:f>IF(T269=1,"OK","DUPLICATE")</x:f>
        <x:v>OK</x:v>
      </x:c>
    </x:row>
    <x:row r="270" ht="26.399999618530273" hidden="0" customHeight="1">
      <x:c r="A270" s="12" t="str">
        <x:v>Gloom Hammer</x:v>
      </x:c>
      <x:c r="B270" s="12" t="str">
        <x:v>GLOOM HAMMER</x:v>
      </x:c>
      <x:c r="C270" s="12" t="str">
        <x:v>weapon</x:v>
      </x:c>
      <x:c r="D270" s="12" t="str">
        <x:v>hammer</x:v>
      </x:c>
      <x:c r="E270" s="12" t="str">
        <x:v>mid</x:v>
      </x:c>
      <x:c r="F270" s="12" t="str">
        <x:v>uncommon</x:v>
      </x:c>
      <x:c r="G270" s="12" t="str">
        <x:v>Gloom Hammer — Payoff</x:v>
      </x:c>
      <x:c r="H270" s="34" t="n">
        <x:v>2</x:v>
      </x:c>
      <x:c r="I270" s="34" t="str">
        <x:v>attack</x:v>
      </x:c>
      <x:c r="J270" s="34" t="n">
        <x:v>7</x:v>
      </x:c>
      <x:c r="K270" s="34" t="n">
        <x:v>4</x:v>
      </x:c>
      <x:c r="L270" s="34" t="str"/>
      <x:c r="M270" s="12" t="str">
        <x:v>Bleed 1</x:v>
      </x:c>
      <x:c r="N270" s="12" t="str">
        <x:v>Heavy, Guardbreaker, WeakPoint, Payoff</x:v>
      </x:c>
      <x:c r="O270" s="12" t="str">
        <x:v>Deal 7 damage and 4 break damage. If this breaks a weak point, resolve Bleed 1 and the bait rider.</x:v>
      </x:c>
      <x:c r="P270" s="12" t="str">
        <x:v>Deal 7 damage and 4 break damage. If the weak point breaks, apply Bleed 1 and resolve: The quarry targets this survivor next unless another card redirects it.</x:v>
      </x:c>
      <x:c r="Q270" s="12" t="str"/>
      <x:c r="R270" s="12" t="str">
        <x:v>quirk: bait | countsAsCounter False, firstCounterFree False</x:v>
      </x:c>
      <x:c r="S270" s="12" t="str">
        <x:v>581237e69950</x:v>
      </x:c>
      <x:c r="T270" s="12" t="n">
        <x:f>COUNTIF($S$2:$S$757,S270)</x:f>
        <x:v>1</x:v>
      </x:c>
      <x:c r="U270" s="12" t="str">
        <x:f>IF(T270=1,"OK","DUPLICATE")</x:f>
        <x:v>OK</x:v>
      </x:c>
    </x:row>
    <x:row r="271" ht="39.599998474121094" hidden="0" customHeight="1">
      <x:c r="A271" s="12" t="str">
        <x:v>Gloom Katana</x:v>
      </x:c>
      <x:c r="B271" s="12" t="str">
        <x:v>GLOOM KATANA</x:v>
      </x:c>
      <x:c r="C271" s="12" t="str">
        <x:v>weapon</x:v>
      </x:c>
      <x:c r="D271" s="12" t="str">
        <x:v>katana</x:v>
      </x:c>
      <x:c r="E271" s="12" t="str">
        <x:v>mid</x:v>
      </x:c>
      <x:c r="F271" s="12" t="str">
        <x:v>uncommon</x:v>
      </x:c>
      <x:c r="G271" s="12" t="str">
        <x:v>Gloom Katana — Opening Strike</x:v>
      </x:c>
      <x:c r="H271" s="34" t="n">
        <x:v>1</x:v>
      </x:c>
      <x:c r="I271" s="34" t="str">
        <x:v>attack</x:v>
      </x:c>
      <x:c r="J271" s="34" t="n">
        <x:v>4</x:v>
      </x:c>
      <x:c r="K271" s="34" t="n">
        <x:v>2</x:v>
      </x:c>
      <x:c r="L271" s="34" t="str"/>
      <x:c r="M271" s="12" t="str">
        <x:v>Burn 2 | Target: Lonely Tree/Light</x:v>
      </x:c>
      <x:c r="N271" s="12" t="str">
        <x:v>Precise, Duelist, Counter, Attack</x:v>
      </x:c>
      <x:c r="O271" s="12" t="str">
        <x:v>Deal 4 damage. Apply Burn 2 if the target has a Lonely Tree/Light weak point, otherwise gain Marked 1.</x:v>
      </x:c>
      <x:c r="P271" s="12" t="str">
        <x:v>Deal 4 damage with Gloom Katana. Apply Burn 2 against a matching Lonely Tree/Light weak point; otherwise apply Marked 1. If you have no Bleed, Poison or Burn, add +1 to all listed values.</x:v>
      </x:c>
      <x:c r="Q271" s="12" t="str"/>
      <x:c r="R271" s="12" t="str">
        <x:v>quirk: cleanHands</x:v>
      </x:c>
      <x:c r="S271" s="12" t="str">
        <x:v>9a8598b1bec1</x:v>
      </x:c>
      <x:c r="T271" s="12" t="n">
        <x:f>COUNTIF($S$2:$S$757,S271)</x:f>
        <x:v>1</x:v>
      </x:c>
      <x:c r="U271" s="12" t="str">
        <x:f>IF(T271=1,"OK","DUPLICATE")</x:f>
        <x:v>OK</x:v>
      </x:c>
    </x:row>
    <x:row r="272" ht="26.399999618530273" hidden="0" customHeight="1">
      <x:c r="A272" s="12" t="str">
        <x:v>Gloom Katana</x:v>
      </x:c>
      <x:c r="B272" s="12" t="str">
        <x:v>GLOOM KATANA</x:v>
      </x:c>
      <x:c r="C272" s="12" t="str">
        <x:v>weapon</x:v>
      </x:c>
      <x:c r="D272" s="12" t="str">
        <x:v>katana</x:v>
      </x:c>
      <x:c r="E272" s="12" t="str">
        <x:v>mid</x:v>
      </x:c>
      <x:c r="F272" s="12" t="str">
        <x:v>uncommon</x:v>
      </x:c>
      <x:c r="G272" s="12" t="str">
        <x:v>Gloom Katana — Technique</x:v>
      </x:c>
      <x:c r="H272" s="34" t="n">
        <x:v>1</x:v>
      </x:c>
      <x:c r="I272" s="34" t="str">
        <x:v>skill</x:v>
      </x:c>
      <x:c r="J272" s="34" t="str"/>
      <x:c r="K272" s="34" t="str"/>
      <x:c r="L272" s="34" t="n">
        <x:v>3</x:v>
      </x:c>
      <x:c r="M272" s="12" t="str">
        <x:v>Opens: True</x:v>
      </x:c>
      <x:c r="N272" s="12" t="str">
        <x:v>Precise, Duelist, Counter, Setup</x:v>
      </x:c>
      <x:c r="O272" s="12" t="str">
        <x:v>Create an opening tied to this equipment's source and keywords. Also gain 3 block.</x:v>
      </x:c>
      <x:c r="P272" s="12" t="str">
        <x:v>Create an opening tied to this equipment's source and keywords. Gain 3 block. If you have no Bleed, Poison or Burn, add +1 to all listed values.</x:v>
      </x:c>
      <x:c r="Q272" s="12" t="str">
        <x:v>YES</x:v>
      </x:c>
      <x:c r="R272" s="12" t="str">
        <x:v>quirk: cleanHands</x:v>
      </x:c>
      <x:c r="S272" s="12" t="str">
        <x:v>036ca87c78b5</x:v>
      </x:c>
      <x:c r="T272" s="12" t="n">
        <x:f>COUNTIF($S$2:$S$757,S272)</x:f>
        <x:v>1</x:v>
      </x:c>
      <x:c r="U272" s="12" t="str">
        <x:f>IF(T272=1,"OK","DUPLICATE")</x:f>
        <x:v>OK</x:v>
      </x:c>
    </x:row>
    <x:row r="273" ht="26.399999618530273" hidden="0" customHeight="1">
      <x:c r="A273" s="12" t="str">
        <x:v>Gloom Katana</x:v>
      </x:c>
      <x:c r="B273" s="12" t="str">
        <x:v>GLOOM KATANA</x:v>
      </x:c>
      <x:c r="C273" s="12" t="str">
        <x:v>weapon</x:v>
      </x:c>
      <x:c r="D273" s="12" t="str">
        <x:v>katana</x:v>
      </x:c>
      <x:c r="E273" s="12" t="str">
        <x:v>mid</x:v>
      </x:c>
      <x:c r="F273" s="12" t="str">
        <x:v>uncommon</x:v>
      </x:c>
      <x:c r="G273" s="12" t="str">
        <x:v>Gloom Katana — Payoff</x:v>
      </x:c>
      <x:c r="H273" s="34" t="n">
        <x:v>2</x:v>
      </x:c>
      <x:c r="I273" s="34" t="str">
        <x:v>reaction</x:v>
      </x:c>
      <x:c r="J273" s="34" t="n">
        <x:v>8</x:v>
      </x:c>
      <x:c r="K273" s="34" t="n">
        <x:v>3</x:v>
      </x:c>
      <x:c r="L273" s="34" t="str"/>
      <x:c r="M273" s="12" t="str">
        <x:v>Burn 1</x:v>
      </x:c>
      <x:c r="N273" s="12" t="str">
        <x:v>Precise, Duelist, Counter, Payoff, WeakPoint</x:v>
      </x:c>
      <x:c r="O273" s="12" t="str">
        <x:v>Deal 8 damage and 3 break damage. If this breaks a weak point, resolve Burn 1 and the cleanHands rider.</x:v>
      </x:c>
      <x:c r="P273" s="12" t="str">
        <x:v>Deal 8 damage and 3 break damage. If the weak point breaks, apply Burn 1 and resolve: If you have no Bleed, Poison or Burn, add +1 to all listed values.</x:v>
      </x:c>
      <x:c r="Q273" s="12" t="str">
        <x:v>YES</x:v>
      </x:c>
      <x:c r="R273" s="12" t="str">
        <x:v>quirk: cleanHands | countsAsCounter True, firstCounterFree True</x:v>
      </x:c>
      <x:c r="S273" s="12" t="str">
        <x:v>27621753e2e3</x:v>
      </x:c>
      <x:c r="T273" s="12" t="n">
        <x:f>COUNTIF($S$2:$S$757,S273)</x:f>
        <x:v>1</x:v>
      </x:c>
      <x:c r="U273" s="12" t="str">
        <x:f>IF(T273=1,"OK","DUPLICATE")</x:f>
        <x:v>OK</x:v>
      </x:c>
    </x:row>
    <x:row r="274" ht="39.599998474121094" hidden="0" customHeight="1">
      <x:c r="A274" s="12" t="str">
        <x:v>Gloom Mehndi</x:v>
      </x:c>
      <x:c r="B274" s="12" t="str">
        <x:v>GLOOM MEHNDI</x:v>
      </x:c>
      <x:c r="C274" s="12" t="str">
        <x:v>tool</x:v>
      </x:c>
      <x:c r="D274" s="12" t="str">
        <x:v>tool</x:v>
      </x:c>
      <x:c r="E274" s="12" t="str">
        <x:v>mid</x:v>
      </x:c>
      <x:c r="F274" s="12" t="str">
        <x:v>uncommon</x:v>
      </x:c>
      <x:c r="G274" s="12" t="str">
        <x:v>Gloom Mehndi — Use</x:v>
      </x:c>
      <x:c r="H274" s="34" t="n">
        <x:v>1</x:v>
      </x:c>
      <x:c r="I274" s="34" t="str">
        <x:v>skill</x:v>
      </x:c>
      <x:c r="J274" s="34" t="str"/>
      <x:c r="K274" s="34" t="str"/>
      <x:c r="L274" s="34" t="str"/>
      <x:c r="M274" s="12" t="str">
        <x:v>Poison 3</x:v>
      </x:c>
      <x:c r="N274" s="12" t="str">
        <x:v>Tool, Harvest, Retreat</x:v>
      </x:c>
      <x:c r="O274" s="12" t="str">
        <x:v>Gain +4 to the next harvest, retreat, or weak-point test. If it fails, apply Poison 3 to the quarry or clear it from a survivor.</x:v>
      </x:c>
      <x:c r="P274" s="12" t="str">
        <x:v>Gain +4 to the next harvest, retreat, or weak-point test linked to Light Forging. On failure, either apply Poison 3 to the quarry or clear that status from a survivor. Chosen ally gains Guarded 1 after this resolves.</x:v>
      </x:c>
      <x:c r="Q274" s="12" t="str"/>
      <x:c r="R274" s="12" t="str">
        <x:v>quirk: ally</x:v>
      </x:c>
      <x:c r="S274" s="12" t="str">
        <x:v>36cbca9d8838</x:v>
      </x:c>
      <x:c r="T274" s="12" t="n">
        <x:f>COUNTIF($S$2:$S$757,S274)</x:f>
        <x:v>1</x:v>
      </x:c>
      <x:c r="U274" s="12" t="str">
        <x:f>IF(T274=1,"OK","DUPLICATE")</x:f>
        <x:v>OK</x:v>
      </x:c>
    </x:row>
    <x:row r="275" ht="39.599998474121094" hidden="0" customHeight="1">
      <x:c r="A275" s="12" t="str">
        <x:v>Gloom Mehndi</x:v>
      </x:c>
      <x:c r="B275" s="12" t="str">
        <x:v>GLOOM MEHNDI</x:v>
      </x:c>
      <x:c r="C275" s="12" t="str">
        <x:v>tool</x:v>
      </x:c>
      <x:c r="D275" s="12" t="str">
        <x:v>tool</x:v>
      </x:c>
      <x:c r="E275" s="12" t="str">
        <x:v>mid</x:v>
      </x:c>
      <x:c r="F275" s="12" t="str">
        <x:v>uncommon</x:v>
      </x:c>
      <x:c r="G275" s="12" t="str">
        <x:v>Gloom Mehndi — Contingency</x:v>
      </x:c>
      <x:c r="H275" s="34" t="n">
        <x:v>1</x:v>
      </x:c>
      <x:c r="I275" s="34" t="str">
        <x:v>reaction</x:v>
      </x:c>
      <x:c r="J275" s="34" t="str"/>
      <x:c r="K275" s="34" t="str"/>
      <x:c r="L275" s="34" t="str"/>
      <x:c r="M275" s="12" t="str"/>
      <x:c r="N275" s="12" t="str">
        <x:v>Tool, Harvest, Retreat</x:v>
      </x:c>
      <x:c r="O275" s="12" t="str">
        <x:v>When a hunt or monster consequence is previewed, reduce it by 4; on retreat, preserve 2 gathered resource.</x:v>
      </x:c>
      <x:c r="P275" s="12" t="str">
        <x:v>When a hunt event, retreat roll, or monster consequence is previewed, reduce the penalty by 4. If retreating, preserve 2 gathered resource. Chosen ally gains Guarded 1 after this resolves.</x:v>
      </x:c>
      <x:c r="Q275" s="12" t="str"/>
      <x:c r="R275" s="12" t="str">
        <x:v>quirk: ally</x:v>
      </x:c>
      <x:c r="S275" s="12" t="str">
        <x:v>1de606b789b1</x:v>
      </x:c>
      <x:c r="T275" s="12" t="n">
        <x:f>COUNTIF($S$2:$S$757,S275)</x:f>
        <x:v>1</x:v>
      </x:c>
      <x:c r="U275" s="12" t="str">
        <x:f>IF(T275=1,"OK","DUPLICATE")</x:f>
        <x:v>OK</x:v>
      </x:c>
    </x:row>
    <x:row r="276" ht="39.599998474121094" hidden="0" customHeight="1">
      <x:c r="A276" s="12" t="str">
        <x:v>Gloom Sheath</x:v>
      </x:c>
      <x:c r="B276" s="12" t="str">
        <x:v>GLOOM SHEATH</x:v>
      </x:c>
      <x:c r="C276" s="12" t="str">
        <x:v>tool</x:v>
      </x:c>
      <x:c r="D276" s="12" t="str">
        <x:v>tool</x:v>
      </x:c>
      <x:c r="E276" s="12" t="str">
        <x:v>mid</x:v>
      </x:c>
      <x:c r="F276" s="12" t="str">
        <x:v>uncommon</x:v>
      </x:c>
      <x:c r="G276" s="12" t="str">
        <x:v>Gloom Sheath — Use</x:v>
      </x:c>
      <x:c r="H276" s="34" t="n">
        <x:v>1</x:v>
      </x:c>
      <x:c r="I276" s="34" t="str">
        <x:v>skill</x:v>
      </x:c>
      <x:c r="J276" s="34" t="str"/>
      <x:c r="K276" s="34" t="str"/>
      <x:c r="L276" s="34" t="str"/>
      <x:c r="M276" s="12" t="str">
        <x:v>Snared 1</x:v>
      </x:c>
      <x:c r="N276" s="12" t="str">
        <x:v>Tool, Harvest, Retreat</x:v>
      </x:c>
      <x:c r="O276" s="12" t="str">
        <x:v>Gain +2 to the next harvest, retreat, or weak-point test. If it fails, apply Snared 1 to the quarry or clear it from a survivor.</x:v>
      </x:c>
      <x:c r="P276" s="12" t="str">
        <x:v>Gain +2 to the next harvest, retreat, or weak-point test linked to Light Forging. On failure, either apply Snared 1 to the quarry or clear that status from a survivor. If used on a hunt node, also mark one gathered resource as confirmed.</x:v>
      </x:c>
      <x:c r="Q276" s="12" t="str"/>
      <x:c r="R276" s="12" t="str">
        <x:v>quirk: retreat</x:v>
      </x:c>
      <x:c r="S276" s="12" t="str">
        <x:v>e456fc51d76a</x:v>
      </x:c>
      <x:c r="T276" s="12" t="n">
        <x:f>COUNTIF($S$2:$S$757,S276)</x:f>
        <x:v>1</x:v>
      </x:c>
      <x:c r="U276" s="12" t="str">
        <x:f>IF(T276=1,"OK","DUPLICATE")</x:f>
        <x:v>OK</x:v>
      </x:c>
    </x:row>
    <x:row r="277" ht="39.599998474121094" hidden="0" customHeight="1">
      <x:c r="A277" s="12" t="str">
        <x:v>Gloom Sheath</x:v>
      </x:c>
      <x:c r="B277" s="12" t="str">
        <x:v>GLOOM SHEATH</x:v>
      </x:c>
      <x:c r="C277" s="12" t="str">
        <x:v>tool</x:v>
      </x:c>
      <x:c r="D277" s="12" t="str">
        <x:v>tool</x:v>
      </x:c>
      <x:c r="E277" s="12" t="str">
        <x:v>mid</x:v>
      </x:c>
      <x:c r="F277" s="12" t="str">
        <x:v>uncommon</x:v>
      </x:c>
      <x:c r="G277" s="12" t="str">
        <x:v>Gloom Sheath — Contingency</x:v>
      </x:c>
      <x:c r="H277" s="34" t="n">
        <x:v>1</x:v>
      </x:c>
      <x:c r="I277" s="34" t="str">
        <x:v>reaction</x:v>
      </x:c>
      <x:c r="J277" s="34" t="str"/>
      <x:c r="K277" s="34" t="str"/>
      <x:c r="L277" s="34" t="str"/>
      <x:c r="M277" s="12" t="str"/>
      <x:c r="N277" s="12" t="str">
        <x:v>Tool, Harvest, Retreat</x:v>
      </x:c>
      <x:c r="O277" s="12" t="str">
        <x:v>When a hunt or monster consequence is previewed, reduce it by 3; on retreat, preserve 1 gathered resource.</x:v>
      </x:c>
      <x:c r="P277" s="12" t="str">
        <x:v>When a hunt event, retreat roll, or monster consequence is previewed, reduce the penalty by 3. If retreating, preserve 1 gathered resource. If used on a hunt node, also mark one gathered resource as confirmed.</x:v>
      </x:c>
      <x:c r="Q277" s="12" t="str"/>
      <x:c r="R277" s="12" t="str">
        <x:v>quirk: retreat</x:v>
      </x:c>
      <x:c r="S277" s="12" t="str">
        <x:v>751a394c98b8</x:v>
      </x:c>
      <x:c r="T277" s="12" t="n">
        <x:f>COUNTIF($S$2:$S$757,S277)</x:f>
        <x:v>1</x:v>
      </x:c>
      <x:c r="U277" s="12" t="str">
        <x:f>IF(T277=1,"OK","DUPLICATE")</x:f>
        <x:v>OK</x:v>
      </x:c>
    </x:row>
    <x:row r="278" ht="39.599998474121094" hidden="0" customHeight="1">
      <x:c r="A278" s="12" t="str">
        <x:v>Gloom-Coated Arrow</x:v>
      </x:c>
      <x:c r="B278" s="12" t="str">
        <x:v>GLOOM-COATED ARROW</x:v>
      </x:c>
      <x:c r="C278" s="12" t="str">
        <x:v>weapon</x:v>
      </x:c>
      <x:c r="D278" s="12" t="str">
        <x:v>bow</x:v>
      </x:c>
      <x:c r="E278" s="12" t="str">
        <x:v>mid</x:v>
      </x:c>
      <x:c r="F278" s="12" t="str">
        <x:v>uncommon</x:v>
      </x:c>
      <x:c r="G278" s="12" t="str">
        <x:v>Gloom-Coated Arrow — Opening Strike</x:v>
      </x:c>
      <x:c r="H278" s="34" t="n">
        <x:v>1</x:v>
      </x:c>
      <x:c r="I278" s="34" t="str">
        <x:v>attack</x:v>
      </x:c>
      <x:c r="J278" s="34" t="n">
        <x:v>4</x:v>
      </x:c>
      <x:c r="K278" s="34" t="n">
        <x:v>2</x:v>
      </x:c>
      <x:c r="L278" s="34" t="str"/>
      <x:c r="M278" s="12" t="str">
        <x:v>Shock 2 | Target: Lonely Tree/Light</x:v>
      </x:c>
      <x:c r="N278" s="12" t="str">
        <x:v>Ranged, Marking, Precise, Attack</x:v>
      </x:c>
      <x:c r="O278" s="12" t="str">
        <x:v>Deal 4 damage. Apply Shock 2 if the target has a Lonely Tree/Light weak point, otherwise gain Marked 1.</x:v>
      </x:c>
      <x:c r="P278" s="12" t="str">
        <x:v>Deal 4 damage with Gloom-Coated Arrow. Apply Shock 2 against a matching Lonely Tree/Light weak point; otherwise apply Marked 1. If you already played an attack this turn, add +1 damage or +1 block.</x:v>
      </x:c>
      <x:c r="Q278" s="12" t="str"/>
      <x:c r="R278" s="12" t="str">
        <x:v>quirk: followUp</x:v>
      </x:c>
      <x:c r="S278" s="12" t="str">
        <x:v>b5257f95b12f</x:v>
      </x:c>
      <x:c r="T278" s="12" t="n">
        <x:f>COUNTIF($S$2:$S$757,S278)</x:f>
        <x:v>1</x:v>
      </x:c>
      <x:c r="U278" s="12" t="str">
        <x:f>IF(T278=1,"OK","DUPLICATE")</x:f>
        <x:v>OK</x:v>
      </x:c>
    </x:row>
    <x:row r="279" ht="26.399999618530273" hidden="0" customHeight="1">
      <x:c r="A279" s="12" t="str">
        <x:v>Gloom-Coated Arrow</x:v>
      </x:c>
      <x:c r="B279" s="12" t="str">
        <x:v>GLOOM-COATED ARROW</x:v>
      </x:c>
      <x:c r="C279" s="12" t="str">
        <x:v>weapon</x:v>
      </x:c>
      <x:c r="D279" s="12" t="str">
        <x:v>bow</x:v>
      </x:c>
      <x:c r="E279" s="12" t="str">
        <x:v>mid</x:v>
      </x:c>
      <x:c r="F279" s="12" t="str">
        <x:v>uncommon</x:v>
      </x:c>
      <x:c r="G279" s="12" t="str">
        <x:v>Gloom-Coated Arrow — Technique</x:v>
      </x:c>
      <x:c r="H279" s="34" t="n">
        <x:v>2</x:v>
      </x:c>
      <x:c r="I279" s="34" t="str">
        <x:v>skill</x:v>
      </x:c>
      <x:c r="J279" s="34" t="str"/>
      <x:c r="K279" s="34" t="str"/>
      <x:c r="L279" s="34" t="n">
        <x:v>3</x:v>
      </x:c>
      <x:c r="M279" s="12" t="str">
        <x:v>Opens: True</x:v>
      </x:c>
      <x:c r="N279" s="12" t="str">
        <x:v>Ranged, Marking, Precise, Setup</x:v>
      </x:c>
      <x:c r="O279" s="12" t="str">
        <x:v>Mark a wing, eye or distant weak point; ranged attacks ignore Guarded 1. Also gain 3 block.</x:v>
      </x:c>
      <x:c r="P279" s="12" t="str">
        <x:v>Mark a wing, eye or distant weak point; ranged attacks ignore Guarded 1. Gain 3 block. If you already played an attack this turn, add +1 damage or +1 block.</x:v>
      </x:c>
      <x:c r="Q279" s="12" t="str"/>
      <x:c r="R279" s="12" t="str">
        <x:v>quirk: followUp</x:v>
      </x:c>
      <x:c r="S279" s="12" t="str">
        <x:v>8b7016f5c0de</x:v>
      </x:c>
      <x:c r="T279" s="12" t="n">
        <x:f>COUNTIF($S$2:$S$757,S279)</x:f>
        <x:v>1</x:v>
      </x:c>
      <x:c r="U279" s="12" t="str">
        <x:f>IF(T279=1,"OK","DUPLICATE")</x:f>
        <x:v>OK</x:v>
      </x:c>
    </x:row>
    <x:row r="280" ht="26.399999618530273" hidden="0" customHeight="1">
      <x:c r="A280" s="12" t="str">
        <x:v>Gloom-Coated Arrow</x:v>
      </x:c>
      <x:c r="B280" s="12" t="str">
        <x:v>GLOOM-COATED ARROW</x:v>
      </x:c>
      <x:c r="C280" s="12" t="str">
        <x:v>weapon</x:v>
      </x:c>
      <x:c r="D280" s="12" t="str">
        <x:v>bow</x:v>
      </x:c>
      <x:c r="E280" s="12" t="str">
        <x:v>mid</x:v>
      </x:c>
      <x:c r="F280" s="12" t="str">
        <x:v>uncommon</x:v>
      </x:c>
      <x:c r="G280" s="12" t="str">
        <x:v>Gloom-Coated Arrow — Payoff</x:v>
      </x:c>
      <x:c r="H280" s="34" t="n">
        <x:v>2</x:v>
      </x:c>
      <x:c r="I280" s="34" t="str">
        <x:v>attack</x:v>
      </x:c>
      <x:c r="J280" s="34" t="n">
        <x:v>6</x:v>
      </x:c>
      <x:c r="K280" s="34" t="n">
        <x:v>3</x:v>
      </x:c>
      <x:c r="L280" s="34" t="str"/>
      <x:c r="M280" s="12" t="str">
        <x:v>Shock 1</x:v>
      </x:c>
      <x:c r="N280" s="12" t="str">
        <x:v>Ranged, Marking, Precise, Payoff, WeakPoint</x:v>
      </x:c>
      <x:c r="O280" s="12" t="str">
        <x:v>Deal 6 damage and 3 break damage. If this breaks a weak point, resolve Shock 1 and the followUp rider.</x:v>
      </x:c>
      <x:c r="P280" s="12" t="str">
        <x:v>Deal 6 damage and 3 break damage. If the weak point breaks, apply Shock 1 and resolve: If you already played an attack this turn, add +1 damage or +1 block.</x:v>
      </x:c>
      <x:c r="Q280" s="12" t="str"/>
      <x:c r="R280" s="12" t="str">
        <x:v>quirk: followUp | countsAsCounter False, firstCounterFree False</x:v>
      </x:c>
      <x:c r="S280" s="12" t="str">
        <x:v>42834062dae6</x:v>
      </x:c>
      <x:c r="T280" s="12" t="n">
        <x:f>COUNTIF($S$2:$S$757,S280)</x:f>
        <x:v>1</x:v>
      </x:c>
      <x:c r="U280" s="12" t="str">
        <x:f>IF(T280=1,"OK","DUPLICATE")</x:f>
        <x:v>OK</x:v>
      </x:c>
    </x:row>
    <x:row r="281" ht="26.399999618530273" hidden="0" customHeight="1">
      <x:c r="A281" s="12" t="str">
        <x:v>Glute (Hunt Phase)</x:v>
      </x:c>
      <x:c r="B281" s="12" t="str">
        <x:v>GLUTE (HUNT PHASE)</x:v>
      </x:c>
      <x:c r="C281" s="12" t="str">
        <x:v>tool</x:v>
      </x:c>
      <x:c r="D281" s="12" t="str">
        <x:v>instrument</x:v>
      </x:c>
      <x:c r="E281" s="12" t="str">
        <x:v>early</x:v>
      </x:c>
      <x:c r="F281" s="12" t="str">
        <x:v>uncommon</x:v>
      </x:c>
      <x:c r="G281" s="12" t="str">
        <x:v>Glute (Hunt Phase) — Hunt Call</x:v>
      </x:c>
      <x:c r="H281" s="34" t="n">
        <x:v>1</x:v>
      </x:c>
      <x:c r="I281" s="34" t="str">
        <x:v>support</x:v>
      </x:c>
      <x:c r="J281" s="34" t="str"/>
      <x:c r="K281" s="34" t="str"/>
      <x:c r="L281" s="34" t="n">
        <x:v>4</x:v>
      </x:c>
      <x:c r="M281" s="12" t="str"/>
      <x:c r="N281" s="12" t="str">
        <x:v>Support, Party, Panic</x:v>
      </x:c>
      <x:c r="O281" s="12" t="str">
        <x:v>Chosen ally gains 4 block and Prepared 3. Gain Panic 1.</x:v>
      </x:c>
      <x:c r="P281" s="12" t="str">
        <x:v>Chosen ally gains 4 block and Prepared 3. If the phase is wrong for this item, also gain Panic 1. After use, Exhaust this equipment until the next monster turn.</x:v>
      </x:c>
      <x:c r="Q281" s="12" t="str"/>
      <x:c r="R281" s="12" t="str">
        <x:v>quirk: exhaust</x:v>
      </x:c>
      <x:c r="S281" s="12" t="str">
        <x:v>1294dac3d77f</x:v>
      </x:c>
      <x:c r="T281" s="12" t="n">
        <x:f>COUNTIF($S$2:$S$757,S281)</x:f>
        <x:v>1</x:v>
      </x:c>
      <x:c r="U281" s="12" t="str">
        <x:f>IF(T281=1,"OK","DUPLICATE")</x:f>
        <x:v>OK</x:v>
      </x:c>
    </x:row>
    <x:row r="282" ht="39.599998474121094" hidden="0" customHeight="1">
      <x:c r="A282" s="12" t="str">
        <x:v>Glute (Hunt Phase)</x:v>
      </x:c>
      <x:c r="B282" s="12" t="str">
        <x:v>GLUTE (HUNT PHASE)</x:v>
      </x:c>
      <x:c r="C282" s="12" t="str">
        <x:v>tool</x:v>
      </x:c>
      <x:c r="D282" s="12" t="str">
        <x:v>instrument</x:v>
      </x:c>
      <x:c r="E282" s="12" t="str">
        <x:v>early</x:v>
      </x:c>
      <x:c r="F282" s="12" t="str">
        <x:v>uncommon</x:v>
      </x:c>
      <x:c r="G282" s="12" t="str">
        <x:v>Glute (Hunt Phase) — Echo</x:v>
      </x:c>
      <x:c r="H282" s="34" t="n">
        <x:v>0</x:v>
      </x:c>
      <x:c r="I282" s="34" t="str">
        <x:v>reaction</x:v>
      </x:c>
      <x:c r="J282" s="34" t="str"/>
      <x:c r="K282" s="34" t="str"/>
      <x:c r="L282" s="34" t="str"/>
      <x:c r="M282" s="12" t="str"/>
      <x:c r="N282" s="12" t="str">
        <x:v>Support, Party, Panic</x:v>
      </x:c>
      <x:c r="O282" s="12" t="str">
        <x:v>After an ally breaks a weak point, give the next ally Guarded 1 or clear Panic 3.</x:v>
      </x:c>
      <x:c r="P282" s="12" t="str">
        <x:v>After an ally breaks a weak point or survives a hunt event, choose: next ally gains Guarded 1, or clear Panic 3. After use, Exhaust this equipment until the next monster turn.</x:v>
      </x:c>
      <x:c r="Q282" s="12" t="str"/>
      <x:c r="R282" s="12" t="str">
        <x:v>quirk: exhaust</x:v>
      </x:c>
      <x:c r="S282" s="12" t="str">
        <x:v>d5e72adfc6c6</x:v>
      </x:c>
      <x:c r="T282" s="12" t="n">
        <x:f>COUNTIF($S$2:$S$757,S282)</x:f>
        <x:v>1</x:v>
      </x:c>
      <x:c r="U282" s="12" t="str">
        <x:f>IF(T282=1,"OK","DUPLICATE")</x:f>
        <x:v>OK</x:v>
      </x:c>
    </x:row>
    <x:row r="283" ht="26.399999618530273" hidden="0" customHeight="1">
      <x:c r="A283" s="12" t="str">
        <x:v>Glute (Showdown Phase)</x:v>
      </x:c>
      <x:c r="B283" s="12" t="str">
        <x:v>GLUTE (SHOWDOWN PHASE)</x:v>
      </x:c>
      <x:c r="C283" s="12" t="str">
        <x:v>tool</x:v>
      </x:c>
      <x:c r="D283" s="12" t="str">
        <x:v>instrument</x:v>
      </x:c>
      <x:c r="E283" s="12" t="str">
        <x:v>early</x:v>
      </x:c>
      <x:c r="F283" s="12" t="str">
        <x:v>uncommon</x:v>
      </x:c>
      <x:c r="G283" s="12" t="str">
        <x:v>Glute (Showdown Phase) — War Call</x:v>
      </x:c>
      <x:c r="H283" s="34" t="n">
        <x:v>1</x:v>
      </x:c>
      <x:c r="I283" s="34" t="str">
        <x:v>support</x:v>
      </x:c>
      <x:c r="J283" s="34" t="str"/>
      <x:c r="K283" s="34" t="str"/>
      <x:c r="L283" s="34" t="n">
        <x:v>5</x:v>
      </x:c>
      <x:c r="M283" s="12" t="str"/>
      <x:c r="N283" s="12" t="str">
        <x:v>Support, Party, Panic</x:v>
      </x:c>
      <x:c r="O283" s="12" t="str">
        <x:v>Chosen ally gains 5 block and Prepared 1. Gain Panic 1.</x:v>
      </x:c>
      <x:c r="P283" s="12" t="str">
        <x:v>Chosen ally gains 5 block and Prepared 1. If the phase is wrong for this item, also gain Panic 1. On a failed harvest, keep one common fallback material.</x:v>
      </x:c>
      <x:c r="Q283" s="12" t="str"/>
      <x:c r="R283" s="12" t="str">
        <x:v>quirk: salvage</x:v>
      </x:c>
      <x:c r="S283" s="12" t="str">
        <x:v>0478568bf33b</x:v>
      </x:c>
      <x:c r="T283" s="12" t="n">
        <x:f>COUNTIF($S$2:$S$757,S283)</x:f>
        <x:v>1</x:v>
      </x:c>
      <x:c r="U283" s="12" t="str">
        <x:f>IF(T283=1,"OK","DUPLICATE")</x:f>
        <x:v>OK</x:v>
      </x:c>
    </x:row>
    <x:row r="284" ht="39.599998474121094" hidden="0" customHeight="1">
      <x:c r="A284" s="12" t="str">
        <x:v>Glute (Showdown Phase)</x:v>
      </x:c>
      <x:c r="B284" s="12" t="str">
        <x:v>GLUTE (SHOWDOWN PHASE)</x:v>
      </x:c>
      <x:c r="C284" s="12" t="str">
        <x:v>tool</x:v>
      </x:c>
      <x:c r="D284" s="12" t="str">
        <x:v>instrument</x:v>
      </x:c>
      <x:c r="E284" s="12" t="str">
        <x:v>early</x:v>
      </x:c>
      <x:c r="F284" s="12" t="str">
        <x:v>uncommon</x:v>
      </x:c>
      <x:c r="G284" s="12" t="str">
        <x:v>Glute (Showdown Phase) — Echo</x:v>
      </x:c>
      <x:c r="H284" s="34" t="n">
        <x:v>1</x:v>
      </x:c>
      <x:c r="I284" s="34" t="str">
        <x:v>reaction</x:v>
      </x:c>
      <x:c r="J284" s="34" t="str"/>
      <x:c r="K284" s="34" t="str"/>
      <x:c r="L284" s="34" t="str"/>
      <x:c r="M284" s="12" t="str"/>
      <x:c r="N284" s="12" t="str">
        <x:v>Support, Party, Panic</x:v>
      </x:c>
      <x:c r="O284" s="12" t="str">
        <x:v>After an ally breaks a weak point, give the next ally Guarded 1 or clear Panic 1.</x:v>
      </x:c>
      <x:c r="P284" s="12" t="str">
        <x:v>After an ally breaks a weak point or survives a hunt event, choose: next ally gains Guarded 1, or clear Panic 1. On a failed harvest, keep one common fallback material.</x:v>
      </x:c>
      <x:c r="Q284" s="12" t="str"/>
      <x:c r="R284" s="12" t="str">
        <x:v>quirk: salvage</x:v>
      </x:c>
      <x:c r="S284" s="12" t="str">
        <x:v>59f267e70ef2</x:v>
      </x:c>
      <x:c r="T284" s="12" t="n">
        <x:f>COUNTIF($S$2:$S$757,S284)</x:f>
        <x:v>1</x:v>
      </x:c>
      <x:c r="U284" s="12" t="str">
        <x:f>IF(T284=1,"OK","DUPLICATE")</x:f>
        <x:v>OK</x:v>
      </x:c>
    </x:row>
    <x:row r="285" ht="39.599998474121094" hidden="0" customHeight="1">
      <x:c r="A285" s="12" t="str">
        <x:v>God Visage</x:v>
      </x:c>
      <x:c r="B285" s="12" t="str">
        <x:v>GOD MASK</x:v>
      </x:c>
      <x:c r="C285" s="12" t="str">
        <x:v>head</x:v>
      </x:c>
      <x:c r="D285" s="12" t="str">
        <x:v>charm</x:v>
      </x:c>
      <x:c r="E285" s="12" t="str">
        <x:v>mid</x:v>
      </x:c>
      <x:c r="F285" s="12" t="str">
        <x:v>uncommon</x:v>
      </x:c>
      <x:c r="G285" s="12" t="str">
        <x:v>God Visage — Omen</x:v>
      </x:c>
      <x:c r="H285" s="34" t="n">
        <x:v>0</x:v>
      </x:c>
      <x:c r="I285" s="34" t="str">
        <x:v>skill</x:v>
      </x:c>
      <x:c r="J285" s="34" t="str"/>
      <x:c r="K285" s="34" t="str"/>
      <x:c r="L285" s="34" t="str"/>
      <x:c r="M285" s="12" t="str"/>
      <x:c r="N285" s="12" t="str">
        <x:v>Charm, Passive, Survival</x:v>
      </x:c>
      <x:c r="O285" s="12" t="str">
        <x:v>Peek at the next quarry card or weak-point reward. You may mark it; if you do, gain Panic 1.</x:v>
      </x:c>
      <x:c r="P285" s="12" t="str">
        <x:v>Peek at the next quarry AI, hit-location or weak-point reward, depending on screen. You may mark it. If marked, gain Panic 1. If a tell is Open, add +2 to the listed damage or block value.</x:v>
      </x:c>
      <x:c r="Q285" s="12" t="str"/>
      <x:c r="R285" s="12" t="str">
        <x:v>quirk: openTell</x:v>
      </x:c>
      <x:c r="S285" s="12" t="str">
        <x:v>dd61e22dbcd9</x:v>
      </x:c>
      <x:c r="T285" s="12" t="n">
        <x:f>COUNTIF($S$2:$S$757,S285)</x:f>
        <x:v>1</x:v>
      </x:c>
      <x:c r="U285" s="12" t="str">
        <x:f>IF(T285=1,"OK","DUPLICATE")</x:f>
        <x:v>OK</x:v>
      </x:c>
    </x:row>
    <x:row r="286" ht="39.599998474121094" hidden="0" customHeight="1">
      <x:c r="A286" s="12" t="str">
        <x:v>God Visage</x:v>
      </x:c>
      <x:c r="B286" s="12" t="str">
        <x:v>GOD MASK</x:v>
      </x:c>
      <x:c r="C286" s="12" t="str">
        <x:v>head</x:v>
      </x:c>
      <x:c r="D286" s="12" t="str">
        <x:v>charm</x:v>
      </x:c>
      <x:c r="E286" s="12" t="str">
        <x:v>mid</x:v>
      </x:c>
      <x:c r="F286" s="12" t="str">
        <x:v>uncommon</x:v>
      </x:c>
      <x:c r="G286" s="12" t="str">
        <x:v>God Visage — Glimmer</x:v>
      </x:c>
      <x:c r="H286" s="34" t="n">
        <x:v>0</x:v>
      </x:c>
      <x:c r="I286" s="34" t="str">
        <x:v>reaction</x:v>
      </x:c>
      <x:c r="J286" s="34" t="str"/>
      <x:c r="K286" s="34" t="str"/>
      <x:c r="L286" s="34" t="str"/>
      <x:c r="M286" s="12" t="str"/>
      <x:c r="N286" s="12" t="str">
        <x:v>Charm, Passive, Survival</x:v>
      </x:c>
      <x:c r="O286" s="12" t="str">
        <x:v>When Snared or a hunt consequence would affect you, reduce it by 3; exhaust this charm.</x:v>
      </x:c>
      <x:c r="P286" s="12" t="str">
        <x:v>When Snared, Panic, or a hunt consequence would affect this survivor, reduce it by 3; exhaust this charm until the next settlement phase. If a tell is Open, add +2 to the listed damage or block value.</x:v>
      </x:c>
      <x:c r="Q286" s="12" t="str"/>
      <x:c r="R286" s="12" t="str">
        <x:v>quirk: openTell</x:v>
      </x:c>
      <x:c r="S286" s="12" t="str">
        <x:v>9e1bae56d818</x:v>
      </x:c>
      <x:c r="T286" s="12" t="n">
        <x:f>COUNTIF($S$2:$S$757,S286)</x:f>
        <x:v>1</x:v>
      </x:c>
      <x:c r="U286" s="12" t="str">
        <x:f>IF(T286=1,"OK","DUPLICATE")</x:f>
        <x:v>OK</x:v>
      </x:c>
    </x:row>
    <x:row r="287" ht="39.599998474121094" hidden="0" customHeight="1">
      <x:c r="A287" s="12" t="str">
        <x:v>Gorment Armor Set</x:v>
      </x:c>
      <x:c r="B287" s="12" t="str">
        <x:v>GORMENT ARMOR SET</x:v>
      </x:c>
      <x:c r="C287" s="12" t="str">
        <x:v>set</x:v>
      </x:c>
      <x:c r="D287" s="12" t="str">
        <x:v>armor</x:v>
      </x:c>
      <x:c r="E287" s="12" t="str">
        <x:v>mid</x:v>
      </x:c>
      <x:c r="F287" s="12" t="str">
        <x:v>uncommon</x:v>
      </x:c>
      <x:c r="G287" s="12" t="str">
        <x:v>Gorment Armor Set — Brace</x:v>
      </x:c>
      <x:c r="H287" s="34" t="n">
        <x:v>1</x:v>
      </x:c>
      <x:c r="I287" s="34" t="str">
        <x:v>skill</x:v>
      </x:c>
      <x:c r="J287" s="34" t="str"/>
      <x:c r="K287" s="34" t="str"/>
      <x:c r="L287" s="34" t="n">
        <x:v>5</x:v>
      </x:c>
      <x:c r="M287" s="12" t="str"/>
      <x:c r="N287" s="12" t="str">
        <x:v>Defensive, Party, WoundCare</x:v>
      </x:c>
      <x:c r="O287" s="12" t="str">
        <x:v>gain 5 block and Guarded 3. If hit before your next turn, reduce Poison or Panic by 1.</x:v>
      </x:c>
      <x:c r="P287" s="12" t="str">
        <x:v>gain 5 block and Guarded 3. If the next monster hit lands before your next turn, reduce Poison or Panic by 1 after damage. Chosen ally gains Guarded 1 after this resolves.</x:v>
      </x:c>
      <x:c r="Q287" s="12" t="str"/>
      <x:c r="R287" s="12" t="str">
        <x:v>quirk: ally</x:v>
      </x:c>
      <x:c r="S287" s="12" t="str">
        <x:v>87f690792ce3</x:v>
      </x:c>
      <x:c r="T287" s="12" t="n">
        <x:f>COUNTIF($S$2:$S$757,S287)</x:f>
        <x:v>1</x:v>
      </x:c>
      <x:c r="U287" s="12" t="str">
        <x:f>IF(T287=1,"OK","DUPLICATE")</x:f>
        <x:v>OK</x:v>
      </x:c>
    </x:row>
    <x:row r="288" ht="26.399999618530273" hidden="0" customHeight="1">
      <x:c r="A288" s="12" t="str">
        <x:v>Gorment Armor Set</x:v>
      </x:c>
      <x:c r="B288" s="12" t="str">
        <x:v>GORMENT ARMOR SET</x:v>
      </x:c>
      <x:c r="C288" s="12" t="str">
        <x:v>set</x:v>
      </x:c>
      <x:c r="D288" s="12" t="str">
        <x:v>armor</x:v>
      </x:c>
      <x:c r="E288" s="12" t="str">
        <x:v>mid</x:v>
      </x:c>
      <x:c r="F288" s="12" t="str">
        <x:v>uncommon</x:v>
      </x:c>
      <x:c r="G288" s="12" t="str">
        <x:v>Gorment Armor Set — Setline</x:v>
      </x:c>
      <x:c r="H288" s="34" t="n">
        <x:v>2</x:v>
      </x:c>
      <x:c r="I288" s="34" t="str">
        <x:v>reaction</x:v>
      </x:c>
      <x:c r="J288" s="34" t="str"/>
      <x:c r="K288" s="34" t="str"/>
      <x:c r="L288" s="34" t="n">
        <x:v>7</x:v>
      </x:c>
      <x:c r="M288" s="12" t="str"/>
      <x:c r="N288" s="12" t="str">
        <x:v>Defensive, Party, WoundCare, Reaction</x:v>
      </x:c>
      <x:c r="O288" s="12" t="str">
        <x:v>After damage is previewed, prevent 7 damage. Then give the next ally Guarded 2.</x:v>
      </x:c>
      <x:c r="P288" s="12" t="str">
        <x:v>After incoming damage is previewed, prevent 7 damage with the set slot. Then the next ally gains Guarded 2. Chosen ally gains Guarded 1 after this resolves.</x:v>
      </x:c>
      <x:c r="Q288" s="12" t="str"/>
      <x:c r="R288" s="12" t="str">
        <x:v>quirk: ally</x:v>
      </x:c>
      <x:c r="S288" s="12" t="str">
        <x:v>0edc8f935cd4</x:v>
      </x:c>
      <x:c r="T288" s="12" t="n">
        <x:f>COUNTIF($S$2:$S$757,S288)</x:f>
        <x:v>1</x:v>
      </x:c>
      <x:c r="U288" s="12" t="str">
        <x:f>IF(T288=1,"OK","DUPLICATE")</x:f>
        <x:v>OK</x:v>
      </x:c>
    </x:row>
    <x:row r="289" ht="39.599998474121094" hidden="0" customHeight="1">
      <x:c r="A289" s="12" t="str">
        <x:v>Gorment Treads</x:v>
      </x:c>
      <x:c r="B289" s="12" t="str">
        <x:v>GORMENT BOOTS</x:v>
      </x:c>
      <x:c r="C289" s="12" t="str">
        <x:v>legs</x:v>
      </x:c>
      <x:c r="D289" s="12" t="str">
        <x:v>armor</x:v>
      </x:c>
      <x:c r="E289" s="12" t="str">
        <x:v>mid</x:v>
      </x:c>
      <x:c r="F289" s="12" t="str">
        <x:v>uncommon</x:v>
      </x:c>
      <x:c r="G289" s="12" t="str">
        <x:v>Gorment Treads — Brace</x:v>
      </x:c>
      <x:c r="H289" s="34" t="n">
        <x:v>1</x:v>
      </x:c>
      <x:c r="I289" s="34" t="str">
        <x:v>skill</x:v>
      </x:c>
      <x:c r="J289" s="34" t="str"/>
      <x:c r="K289" s="34" t="str"/>
      <x:c r="L289" s="34" t="n">
        <x:v>5</x:v>
      </x:c>
      <x:c r="M289" s="12" t="str"/>
      <x:c r="N289" s="12" t="str">
        <x:v>Defensive, Party, WoundCare</x:v>
      </x:c>
      <x:c r="O289" s="12" t="str">
        <x:v>Gain 5 block and Guarded 1. If hit before your next turn, reduce Poison or Panic by 1.</x:v>
      </x:c>
      <x:c r="P289" s="12" t="str">
        <x:v>Gain 5 block and Guarded 1. If the next monster hit lands before your next turn, reduce Poison or Panic by 1 after damage. If used on a hunt node, also mark one gathered resource as confirmed.</x:v>
      </x:c>
      <x:c r="Q289" s="12" t="str"/>
      <x:c r="R289" s="12" t="str">
        <x:v>quirk: retreat</x:v>
      </x:c>
      <x:c r="S289" s="12" t="str">
        <x:v>029eedb5709e</x:v>
      </x:c>
      <x:c r="T289" s="12" t="n">
        <x:f>COUNTIF($S$2:$S$757,S289)</x:f>
        <x:v>1</x:v>
      </x:c>
      <x:c r="U289" s="12" t="str">
        <x:f>IF(T289=1,"OK","DUPLICATE")</x:f>
        <x:v>OK</x:v>
      </x:c>
    </x:row>
    <x:row r="290" ht="39.599998474121094" hidden="0" customHeight="1">
      <x:c r="A290" s="12" t="str">
        <x:v>Gorment Treads</x:v>
      </x:c>
      <x:c r="B290" s="12" t="str">
        <x:v>GORMENT BOOTS</x:v>
      </x:c>
      <x:c r="C290" s="12" t="str">
        <x:v>legs</x:v>
      </x:c>
      <x:c r="D290" s="12" t="str">
        <x:v>armor</x:v>
      </x:c>
      <x:c r="E290" s="12" t="str">
        <x:v>mid</x:v>
      </x:c>
      <x:c r="F290" s="12" t="str">
        <x:v>uncommon</x:v>
      </x:c>
      <x:c r="G290" s="12" t="str">
        <x:v>Gorment Treads — Fitted Plate</x:v>
      </x:c>
      <x:c r="H290" s="34" t="n">
        <x:v>1</x:v>
      </x:c>
      <x:c r="I290" s="34" t="str">
        <x:v>reaction</x:v>
      </x:c>
      <x:c r="J290" s="34" t="str"/>
      <x:c r="K290" s="34" t="str"/>
      <x:c r="L290" s="34" t="n">
        <x:v>6</x:v>
      </x:c>
      <x:c r="M290" s="12" t="str"/>
      <x:c r="N290" s="12" t="str">
        <x:v>Defensive, Party, WoundCare, Reaction</x:v>
      </x:c>
      <x:c r="O290" s="12" t="str">
        <x:v>After damage is previewed, prevent 6 damage. Then give the next ally Guarded 2.</x:v>
      </x:c>
      <x:c r="P290" s="12" t="str">
        <x:v>After incoming damage is previewed, prevent 6 damage with the legs slot. Then the next ally gains Guarded 2. If used on a hunt node, also mark one gathered resource as confirmed.</x:v>
      </x:c>
      <x:c r="Q290" s="12" t="str"/>
      <x:c r="R290" s="12" t="str">
        <x:v>quirk: retreat</x:v>
      </x:c>
      <x:c r="S290" s="12" t="str">
        <x:v>03e5e7523519</x:v>
      </x:c>
      <x:c r="T290" s="12" t="n">
        <x:f>COUNTIF($S$2:$S$757,S290)</x:f>
        <x:v>1</x:v>
      </x:c>
      <x:c r="U290" s="12" t="str">
        <x:f>IF(T290=1,"OK","DUPLICATE")</x:f>
        <x:v>OK</x:v>
      </x:c>
    </x:row>
    <x:row r="291" ht="39.599998474121094" hidden="0" customHeight="1">
      <x:c r="A291" s="12" t="str">
        <x:v>Gorment Visage</x:v>
      </x:c>
      <x:c r="B291" s="12" t="str">
        <x:v>GORMENT MASK</x:v>
      </x:c>
      <x:c r="C291" s="12" t="str">
        <x:v>head</x:v>
      </x:c>
      <x:c r="D291" s="12" t="str">
        <x:v>charm</x:v>
      </x:c>
      <x:c r="E291" s="12" t="str">
        <x:v>mid</x:v>
      </x:c>
      <x:c r="F291" s="12" t="str">
        <x:v>uncommon</x:v>
      </x:c>
      <x:c r="G291" s="12" t="str">
        <x:v>Gorment Visage — Omen</x:v>
      </x:c>
      <x:c r="H291" s="34" t="n">
        <x:v>0</x:v>
      </x:c>
      <x:c r="I291" s="34" t="str">
        <x:v>skill</x:v>
      </x:c>
      <x:c r="J291" s="34" t="str"/>
      <x:c r="K291" s="34" t="str"/>
      <x:c r="L291" s="34" t="str"/>
      <x:c r="M291" s="12" t="str"/>
      <x:c r="N291" s="12" t="str">
        <x:v>Charm, Passive, Survival</x:v>
      </x:c>
      <x:c r="O291" s="12" t="str">
        <x:v>Peek at the next quarry card or weak-point reward. You may mark it; if you do, gain Panic 1; You may gain Panic 1 to increase one listed value by 1.</x:v>
      </x:c>
      <x:c r="P291" s="12" t="str">
        <x:v>Peek at the next quarry AI, hit-location or weak-point reward, depending on screen. You may mark it. If marked, gain Panic 1. If this is the only card you play this turn, gain +2 block. You may gain Panic 1 to increase one listed value by 1.</x:v>
      </x:c>
      <x:c r="Q291" s="12" t="str"/>
      <x:c r="R291" s="12" t="str">
        <x:v>quirk: stance+panicBrake | uniqueRider:panicBrake</x:v>
      </x:c>
      <x:c r="S291" s="12" t="str">
        <x:v>0a6326c6d4ed</x:v>
      </x:c>
      <x:c r="T291" s="12" t="n">
        <x:f>COUNTIF($S$2:$S$757,S291)</x:f>
        <x:v>1</x:v>
      </x:c>
      <x:c r="U291" s="12" t="str">
        <x:f>IF(T291=1,"OK","DUPLICATE")</x:f>
        <x:v>OK</x:v>
      </x:c>
    </x:row>
    <x:row r="292" ht="39.599998474121094" hidden="0" customHeight="1">
      <x:c r="A292" s="12" t="str">
        <x:v>Gorment Visage</x:v>
      </x:c>
      <x:c r="B292" s="12" t="str">
        <x:v>GORMENT MASK</x:v>
      </x:c>
      <x:c r="C292" s="12" t="str">
        <x:v>head</x:v>
      </x:c>
      <x:c r="D292" s="12" t="str">
        <x:v>charm</x:v>
      </x:c>
      <x:c r="E292" s="12" t="str">
        <x:v>mid</x:v>
      </x:c>
      <x:c r="F292" s="12" t="str">
        <x:v>uncommon</x:v>
      </x:c>
      <x:c r="G292" s="12" t="str">
        <x:v>Gorment Visage — Glimmer</x:v>
      </x:c>
      <x:c r="H292" s="34" t="n">
        <x:v>0</x:v>
      </x:c>
      <x:c r="I292" s="34" t="str">
        <x:v>reaction</x:v>
      </x:c>
      <x:c r="J292" s="34" t="str"/>
      <x:c r="K292" s="34" t="str"/>
      <x:c r="L292" s="34" t="str"/>
      <x:c r="M292" s="12" t="str"/>
      <x:c r="N292" s="12" t="str">
        <x:v>Charm, Passive, Survival</x:v>
      </x:c>
      <x:c r="O292" s="12" t="str">
        <x:v>When Poison or a hunt consequence would affect you, reduce it by 3; exhaust this charm.</x:v>
      </x:c>
      <x:c r="P292" s="12" t="str">
        <x:v>When Poison, Panic, or a hunt consequence would affect this survivor, reduce it by 3; exhaust this charm until the next settlement phase. If this is the only card you play this turn, gain +2 block.</x:v>
      </x:c>
      <x:c r="Q292" s="12" t="str"/>
      <x:c r="R292" s="12" t="str">
        <x:v>quirk: stance</x:v>
      </x:c>
      <x:c r="S292" s="12" t="str">
        <x:v>313132ba6bcf</x:v>
      </x:c>
      <x:c r="T292" s="12" t="n">
        <x:f>COUNTIF($S$2:$S$757,S292)</x:f>
        <x:v>1</x:v>
      </x:c>
      <x:c r="U292" s="12" t="str">
        <x:f>IF(T292=1,"OK","DUPLICATE")</x:f>
        <x:v>OK</x:v>
      </x:c>
    </x:row>
    <x:row r="293" ht="39.599998474121094" hidden="0" customHeight="1">
      <x:c r="A293" s="12" t="str">
        <x:v>Gorment Sleeves</x:v>
      </x:c>
      <x:c r="B293" s="12" t="str">
        <x:v>GORMENT SLEEVES</x:v>
      </x:c>
      <x:c r="C293" s="12" t="str">
        <x:v>arms</x:v>
      </x:c>
      <x:c r="D293" s="12" t="str">
        <x:v>armor</x:v>
      </x:c>
      <x:c r="E293" s="12" t="str">
        <x:v>mid</x:v>
      </x:c>
      <x:c r="F293" s="12" t="str">
        <x:v>uncommon</x:v>
      </x:c>
      <x:c r="G293" s="12" t="str">
        <x:v>Gorment Sleeves — Brace</x:v>
      </x:c>
      <x:c r="H293" s="34" t="n">
        <x:v>1</x:v>
      </x:c>
      <x:c r="I293" s="34" t="str">
        <x:v>skill</x:v>
      </x:c>
      <x:c r="J293" s="34" t="str"/>
      <x:c r="K293" s="34" t="str"/>
      <x:c r="L293" s="34" t="n">
        <x:v>3</x:v>
      </x:c>
      <x:c r="M293" s="12" t="str"/>
      <x:c r="N293" s="12" t="str">
        <x:v>Defensive, Party, WoundCare</x:v>
      </x:c>
      <x:c r="O293" s="12" t="str">
        <x:v>Gain 3 block and Guarded 3. If hit before your next turn, reduce Poison or Panic by 1.</x:v>
      </x:c>
      <x:c r="P293" s="12" t="str">
        <x:v>Gain 3 block and Guarded 3. If the next monster hit lands before your next turn, reduce Poison or Panic by 1 after damage. After use, Exhaust this equipment until the next monster turn.</x:v>
      </x:c>
      <x:c r="Q293" s="12" t="str"/>
      <x:c r="R293" s="12" t="str">
        <x:v>quirk: exhaust</x:v>
      </x:c>
      <x:c r="S293" s="12" t="str">
        <x:v>100101afa551</x:v>
      </x:c>
      <x:c r="T293" s="12" t="n">
        <x:f>COUNTIF($S$2:$S$757,S293)</x:f>
        <x:v>1</x:v>
      </x:c>
      <x:c r="U293" s="12" t="str">
        <x:f>IF(T293=1,"OK","DUPLICATE")</x:f>
        <x:v>OK</x:v>
      </x:c>
    </x:row>
    <x:row r="294" ht="39.599998474121094" hidden="0" customHeight="1">
      <x:c r="A294" s="12" t="str">
        <x:v>Gorment Sleeves</x:v>
      </x:c>
      <x:c r="B294" s="12" t="str">
        <x:v>GORMENT SLEEVES</x:v>
      </x:c>
      <x:c r="C294" s="12" t="str">
        <x:v>arms</x:v>
      </x:c>
      <x:c r="D294" s="12" t="str">
        <x:v>armor</x:v>
      </x:c>
      <x:c r="E294" s="12" t="str">
        <x:v>mid</x:v>
      </x:c>
      <x:c r="F294" s="12" t="str">
        <x:v>uncommon</x:v>
      </x:c>
      <x:c r="G294" s="12" t="str">
        <x:v>Gorment Sleeves — Fitted Plate</x:v>
      </x:c>
      <x:c r="H294" s="34" t="n">
        <x:v>1</x:v>
      </x:c>
      <x:c r="I294" s="34" t="str">
        <x:v>reaction</x:v>
      </x:c>
      <x:c r="J294" s="34" t="str"/>
      <x:c r="K294" s="34" t="str"/>
      <x:c r="L294" s="34" t="n">
        <x:v>6</x:v>
      </x:c>
      <x:c r="M294" s="12" t="str"/>
      <x:c r="N294" s="12" t="str">
        <x:v>Defensive, Party, WoundCare, Reaction</x:v>
      </x:c>
      <x:c r="O294" s="12" t="str">
        <x:v>After damage is previewed, prevent 6 damage. Then give the next ally Guarded 2.</x:v>
      </x:c>
      <x:c r="P294" s="12" t="str">
        <x:v>After incoming damage is previewed, prevent 6 damage with the arms slot. Then the next ally gains Guarded 2. After use, Exhaust this equipment until the next monster turn.</x:v>
      </x:c>
      <x:c r="Q294" s="12" t="str"/>
      <x:c r="R294" s="12" t="str">
        <x:v>quirk: exhaust</x:v>
      </x:c>
      <x:c r="S294" s="12" t="str">
        <x:v>faae3bcc2546</x:v>
      </x:c>
      <x:c r="T294" s="12" t="n">
        <x:f>COUNTIF($S$2:$S$757,S294)</x:f>
        <x:v>1</x:v>
      </x:c>
      <x:c r="U294" s="12" t="str">
        <x:f>IF(T294=1,"OK","DUPLICATE")</x:f>
        <x:v>OK</x:v>
      </x:c>
    </x:row>
    <x:row r="295" ht="39.599998474121094" hidden="0" customHeight="1">
      <x:c r="A295" s="12" t="str">
        <x:v>Gorment Suit</x:v>
      </x:c>
      <x:c r="B295" s="12" t="str">
        <x:v>GORMENT SUIT</x:v>
      </x:c>
      <x:c r="C295" s="12" t="str">
        <x:v>body</x:v>
      </x:c>
      <x:c r="D295" s="12" t="str">
        <x:v>armor</x:v>
      </x:c>
      <x:c r="E295" s="12" t="str">
        <x:v>mid</x:v>
      </x:c>
      <x:c r="F295" s="12" t="str">
        <x:v>uncommon</x:v>
      </x:c>
      <x:c r="G295" s="12" t="str">
        <x:v>Gorment Suit — Brace</x:v>
      </x:c>
      <x:c r="H295" s="34" t="n">
        <x:v>1</x:v>
      </x:c>
      <x:c r="I295" s="34" t="str">
        <x:v>skill</x:v>
      </x:c>
      <x:c r="J295" s="34" t="str"/>
      <x:c r="K295" s="34" t="str"/>
      <x:c r="L295" s="34" t="n">
        <x:v>4</x:v>
      </x:c>
      <x:c r="M295" s="12" t="str"/>
      <x:c r="N295" s="12" t="str">
        <x:v>Defensive, Party, WoundCare</x:v>
      </x:c>
      <x:c r="O295" s="12" t="str">
        <x:v>Gain 4 block and Guarded 1. If hit before your next turn, reduce Poison or Panic by 1.</x:v>
      </x:c>
      <x:c r="P295" s="12" t="str">
        <x:v>Gain 4 block and Guarded 1. If the next monster hit lands before your next turn, reduce Poison or Panic by 1 after damage. On a failed harvest, keep one common fallback material.</x:v>
      </x:c>
      <x:c r="Q295" s="12" t="str"/>
      <x:c r="R295" s="12" t="str">
        <x:v>quirk: salvage</x:v>
      </x:c>
      <x:c r="S295" s="12" t="str">
        <x:v>fef286b18b27</x:v>
      </x:c>
      <x:c r="T295" s="12" t="n">
        <x:f>COUNTIF($S$2:$S$757,S295)</x:f>
        <x:v>1</x:v>
      </x:c>
      <x:c r="U295" s="12" t="str">
        <x:f>IF(T295=1,"OK","DUPLICATE")</x:f>
        <x:v>OK</x:v>
      </x:c>
    </x:row>
    <x:row r="296" ht="39.599998474121094" hidden="0" customHeight="1">
      <x:c r="A296" s="12" t="str">
        <x:v>Gorment Suit</x:v>
      </x:c>
      <x:c r="B296" s="12" t="str">
        <x:v>GORMENT SUIT</x:v>
      </x:c>
      <x:c r="C296" s="12" t="str">
        <x:v>body</x:v>
      </x:c>
      <x:c r="D296" s="12" t="str">
        <x:v>armor</x:v>
      </x:c>
      <x:c r="E296" s="12" t="str">
        <x:v>mid</x:v>
      </x:c>
      <x:c r="F296" s="12" t="str">
        <x:v>uncommon</x:v>
      </x:c>
      <x:c r="G296" s="12" t="str">
        <x:v>Gorment Suit — Fitted Plate</x:v>
      </x:c>
      <x:c r="H296" s="34" t="n">
        <x:v>2</x:v>
      </x:c>
      <x:c r="I296" s="34" t="str">
        <x:v>reaction</x:v>
      </x:c>
      <x:c r="J296" s="34" t="str"/>
      <x:c r="K296" s="34" t="str"/>
      <x:c r="L296" s="34" t="n">
        <x:v>5</x:v>
      </x:c>
      <x:c r="M296" s="12" t="str"/>
      <x:c r="N296" s="12" t="str">
        <x:v>Defensive, Party, WoundCare, Reaction</x:v>
      </x:c>
      <x:c r="O296" s="12" t="str">
        <x:v>After damage is previewed, prevent 5 damage. Then give the next ally Guarded 2.</x:v>
      </x:c>
      <x:c r="P296" s="12" t="str">
        <x:v>After incoming damage is previewed, prevent 5 damage with the body slot. Then the next ally gains Guarded 2. On a failed harvest, keep one common fallback material.</x:v>
      </x:c>
      <x:c r="Q296" s="12" t="str"/>
      <x:c r="R296" s="12" t="str">
        <x:v>quirk: salvage</x:v>
      </x:c>
      <x:c r="S296" s="12" t="str">
        <x:v>992fccaf49f2</x:v>
      </x:c>
      <x:c r="T296" s="12" t="n">
        <x:f>COUNTIF($S$2:$S$757,S296)</x:f>
        <x:v>1</x:v>
      </x:c>
      <x:c r="U296" s="12" t="str">
        <x:f>IF(T296=1,"OK","DUPLICATE")</x:f>
        <x:v>OK</x:v>
      </x:c>
    </x:row>
    <x:row r="297" ht="39.599998474121094" hidden="0" customHeight="1">
      <x:c r="A297" s="12" t="str">
        <x:v>Gorn</x:v>
      </x:c>
      <x:c r="B297" s="12" t="str">
        <x:v>GORN</x:v>
      </x:c>
      <x:c r="C297" s="12" t="str">
        <x:v>tool</x:v>
      </x:c>
      <x:c r="D297" s="12" t="str">
        <x:v>tool</x:v>
      </x:c>
      <x:c r="E297" s="12" t="str">
        <x:v>mid</x:v>
      </x:c>
      <x:c r="F297" s="12" t="str">
        <x:v>uncommon</x:v>
      </x:c>
      <x:c r="G297" s="12" t="str">
        <x:v>Gorn — Use</x:v>
      </x:c>
      <x:c r="H297" s="34" t="n">
        <x:v>1</x:v>
      </x:c>
      <x:c r="I297" s="34" t="str">
        <x:v>skill</x:v>
      </x:c>
      <x:c r="J297" s="34" t="str"/>
      <x:c r="K297" s="34" t="str"/>
      <x:c r="L297" s="34" t="str"/>
      <x:c r="M297" s="12" t="str">
        <x:v>Poison 2</x:v>
      </x:c>
      <x:c r="N297" s="12" t="str">
        <x:v>Tool, Harvest, Retreat</x:v>
      </x:c>
      <x:c r="O297" s="12" t="str">
        <x:v>Gain +3 to the next harvest, retreat, or weak-point test. If it fails, apply Poison 2 to the quarry or clear it from a survivor.</x:v>
      </x:c>
      <x:c r="P297" s="12" t="str">
        <x:v>Gain +3 to the next harvest, retreat, or weak-point test linked to Gormery. On failure, either apply Poison 2 to the quarry or clear that status from a survivor. If this would drop you to 0 HP, resolve the card first, then die if still at 0 HP.</x:v>
      </x:c>
      <x:c r="Q297" s="12" t="str"/>
      <x:c r="R297" s="12" t="str">
        <x:v>quirk: lastLight</x:v>
      </x:c>
      <x:c r="S297" s="12" t="str">
        <x:v>bd8399ae88ed</x:v>
      </x:c>
      <x:c r="T297" s="12" t="n">
        <x:f>COUNTIF($S$2:$S$757,S297)</x:f>
        <x:v>1</x:v>
      </x:c>
      <x:c r="U297" s="12" t="str">
        <x:f>IF(T297=1,"OK","DUPLICATE")</x:f>
        <x:v>OK</x:v>
      </x:c>
    </x:row>
    <x:row r="298" ht="39.599998474121094" hidden="0" customHeight="1">
      <x:c r="A298" s="12" t="str">
        <x:v>Gorn</x:v>
      </x:c>
      <x:c r="B298" s="12" t="str">
        <x:v>GORN</x:v>
      </x:c>
      <x:c r="C298" s="12" t="str">
        <x:v>tool</x:v>
      </x:c>
      <x:c r="D298" s="12" t="str">
        <x:v>tool</x:v>
      </x:c>
      <x:c r="E298" s="12" t="str">
        <x:v>mid</x:v>
      </x:c>
      <x:c r="F298" s="12" t="str">
        <x:v>uncommon</x:v>
      </x:c>
      <x:c r="G298" s="12" t="str">
        <x:v>Gorn — Contingency</x:v>
      </x:c>
      <x:c r="H298" s="34" t="n">
        <x:v>1</x:v>
      </x:c>
      <x:c r="I298" s="34" t="str">
        <x:v>reaction</x:v>
      </x:c>
      <x:c r="J298" s="34" t="str"/>
      <x:c r="K298" s="34" t="str"/>
      <x:c r="L298" s="34" t="str"/>
      <x:c r="M298" s="12" t="str"/>
      <x:c r="N298" s="12" t="str">
        <x:v>Tool, Harvest, Retreat</x:v>
      </x:c>
      <x:c r="O298" s="12" t="str">
        <x:v>When a hunt or monster consequence is previewed, reduce it by 3; on retreat, preserve 1 gathered resource.</x:v>
      </x:c>
      <x:c r="P298" s="12" t="str">
        <x:v>When a hunt event, retreat roll, or monster consequence is previewed, reduce the penalty by 3. If retreating, preserve 1 gathered resource. If this would drop you to 0 HP, resolve the card first, then die if still at 0 HP.</x:v>
      </x:c>
      <x:c r="Q298" s="12" t="str"/>
      <x:c r="R298" s="12" t="str">
        <x:v>quirk: lastLight</x:v>
      </x:c>
      <x:c r="S298" s="12" t="str">
        <x:v>114d36ce780b</x:v>
      </x:c>
      <x:c r="T298" s="12" t="n">
        <x:f>COUNTIF($S$2:$S$757,S298)</x:f>
        <x:v>1</x:v>
      </x:c>
      <x:c r="U298" s="12" t="str">
        <x:f>IF(T298=1,"OK","DUPLICATE")</x:f>
        <x:v>OK</x:v>
      </x:c>
    </x:row>
    <x:row r="299" ht="39.599998474121094" hidden="0" customHeight="1">
      <x:c r="A299" s="12" t="str">
        <x:v>Gramber Blade</x:v>
      </x:c>
      <x:c r="B299" s="12" t="str">
        <x:v>GRAMBER BLADE</x:v>
      </x:c>
      <x:c r="C299" s="12" t="str">
        <x:v>weapon</x:v>
      </x:c>
      <x:c r="D299" s="12" t="str">
        <x:v>sword</x:v>
      </x:c>
      <x:c r="E299" s="12" t="str">
        <x:v>mid</x:v>
      </x:c>
      <x:c r="F299" s="12" t="str">
        <x:v>uncommon</x:v>
      </x:c>
      <x:c r="G299" s="12" t="str">
        <x:v>Gramber Blade — Opening Cut</x:v>
      </x:c>
      <x:c r="H299" s="34" t="n">
        <x:v>1</x:v>
      </x:c>
      <x:c r="I299" s="34" t="str">
        <x:v>attack</x:v>
      </x:c>
      <x:c r="J299" s="34" t="n">
        <x:v>5</x:v>
      </x:c>
      <x:c r="K299" s="34" t="n">
        <x:v>3</x:v>
      </x:c>
      <x:c r="L299" s="34" t="str"/>
      <x:c r="M299" s="12" t="str">
        <x:v>Blind 3 | Target: Spurkulese</x:v>
      </x:c>
      <x:c r="N299" s="12" t="str">
        <x:v>Precise, Marking, Counter, Attack</x:v>
      </x:c>
      <x:c r="O299" s="12" t="str">
        <x:v>Deal 5 damage. Apply Blind 3 if the target has a Spurkulese weak point, otherwise gain Marked 1.</x:v>
      </x:c>
      <x:c r="P299" s="12" t="str">
        <x:v>Deal 5 damage with Gramber Blade. Apply Blind 3 against a matching Spurkulese weak point; otherwise apply Marked 1. After use, Exhaust this equipment until the next monster turn.</x:v>
      </x:c>
      <x:c r="Q299" s="12" t="str"/>
      <x:c r="R299" s="12" t="str">
        <x:v>quirk: exhaust</x:v>
      </x:c>
      <x:c r="S299" s="12" t="str">
        <x:v>b14d85cf072f</x:v>
      </x:c>
      <x:c r="T299" s="12" t="n">
        <x:f>COUNTIF($S$2:$S$757,S299)</x:f>
        <x:v>1</x:v>
      </x:c>
      <x:c r="U299" s="12" t="str">
        <x:f>IF(T299=1,"OK","DUPLICATE")</x:f>
        <x:v>OK</x:v>
      </x:c>
    </x:row>
    <x:row r="300" ht="39.599998474121094" hidden="0" customHeight="1">
      <x:c r="A300" s="12" t="str">
        <x:v>Gramber Blade</x:v>
      </x:c>
      <x:c r="B300" s="12" t="str">
        <x:v>GRAMBER BLADE</x:v>
      </x:c>
      <x:c r="C300" s="12" t="str">
        <x:v>weapon</x:v>
      </x:c>
      <x:c r="D300" s="12" t="str">
        <x:v>sword</x:v>
      </x:c>
      <x:c r="E300" s="12" t="str">
        <x:v>mid</x:v>
      </x:c>
      <x:c r="F300" s="12" t="str">
        <x:v>uncommon</x:v>
      </x:c>
      <x:c r="G300" s="12" t="str">
        <x:v>Gramber Blade — Technique</x:v>
      </x:c>
      <x:c r="H300" s="34" t="n">
        <x:v>2</x:v>
      </x:c>
      <x:c r="I300" s="34" t="str">
        <x:v>skill</x:v>
      </x:c>
      <x:c r="J300" s="34" t="str"/>
      <x:c r="K300" s="34" t="str"/>
      <x:c r="L300" s="34" t="n">
        <x:v>4</x:v>
      </x:c>
      <x:c r="M300" s="12" t="str">
        <x:v>Opens: True</x:v>
      </x:c>
      <x:c r="N300" s="12" t="str">
        <x:v>Precise, Marking, Counter, Setup</x:v>
      </x:c>
      <x:c r="O300" s="12" t="str">
        <x:v>Set a parry line; your next Counter with this equipment costs 0 if it is the first Counter this battle. Also gain 4 block.</x:v>
      </x:c>
      <x:c r="P300" s="12" t="str">
        <x:v>Set a parry line; your next Counter with this equipment costs 0 if it is the first Counter this battle. Gain 4 block. After use, Exhaust this equipment until the next monster turn.</x:v>
      </x:c>
      <x:c r="Q300" s="12" t="str">
        <x:v>YES</x:v>
      </x:c>
      <x:c r="R300" s="12" t="str">
        <x:v>quirk: exhaust</x:v>
      </x:c>
      <x:c r="S300" s="12" t="str">
        <x:v>c523f5cc802b</x:v>
      </x:c>
      <x:c r="T300" s="12" t="n">
        <x:f>COUNTIF($S$2:$S$757,S300)</x:f>
        <x:v>1</x:v>
      </x:c>
      <x:c r="U300" s="12" t="str">
        <x:f>IF(T300=1,"OK","DUPLICATE")</x:f>
        <x:v>OK</x:v>
      </x:c>
    </x:row>
    <x:row r="301" ht="26.399999618530273" hidden="0" customHeight="1">
      <x:c r="A301" s="12" t="str">
        <x:v>Gramber Blade</x:v>
      </x:c>
      <x:c r="B301" s="12" t="str">
        <x:v>GRAMBER BLADE</x:v>
      </x:c>
      <x:c r="C301" s="12" t="str">
        <x:v>weapon</x:v>
      </x:c>
      <x:c r="D301" s="12" t="str">
        <x:v>sword</x:v>
      </x:c>
      <x:c r="E301" s="12" t="str">
        <x:v>mid</x:v>
      </x:c>
      <x:c r="F301" s="12" t="str">
        <x:v>uncommon</x:v>
      </x:c>
      <x:c r="G301" s="12" t="str">
        <x:v>Gramber Blade — Payoff</x:v>
      </x:c>
      <x:c r="H301" s="34" t="n">
        <x:v>2</x:v>
      </x:c>
      <x:c r="I301" s="34" t="str">
        <x:v>reaction</x:v>
      </x:c>
      <x:c r="J301" s="34" t="n">
        <x:v>9</x:v>
      </x:c>
      <x:c r="K301" s="34" t="n">
        <x:v>4</x:v>
      </x:c>
      <x:c r="L301" s="34" t="str"/>
      <x:c r="M301" s="12" t="str">
        <x:v>Blind 2</x:v>
      </x:c>
      <x:c r="N301" s="12" t="str">
        <x:v>Precise, Marking, Counter, Payoff, WeakPoint</x:v>
      </x:c>
      <x:c r="O301" s="12" t="str">
        <x:v>Deal 9 damage and 4 break damage. If this breaks a weak point, resolve Blind 2 and the exhaust rider.</x:v>
      </x:c>
      <x:c r="P301" s="12" t="str">
        <x:v>Deal 9 damage and 4 break damage. If the weak point breaks, apply Blind 2 and resolve: After use, Exhaust this equipment until the next monster turn.</x:v>
      </x:c>
      <x:c r="Q301" s="12" t="str">
        <x:v>YES</x:v>
      </x:c>
      <x:c r="R301" s="12" t="str">
        <x:v>quirk: exhaust | countsAsCounter True, firstCounterFree True</x:v>
      </x:c>
      <x:c r="S301" s="12" t="str">
        <x:v>cc309696fd3a</x:v>
      </x:c>
      <x:c r="T301" s="12" t="n">
        <x:f>COUNTIF($S$2:$S$757,S301)</x:f>
        <x:v>1</x:v>
      </x:c>
      <x:c r="U301" s="12" t="str">
        <x:f>IF(T301=1,"OK","DUPLICATE")</x:f>
        <x:v>OK</x:v>
      </x:c>
    </x:row>
    <x:row r="302" ht="39.599998474121094" hidden="0" customHeight="1">
      <x:c r="A302" s="12" t="str">
        <x:v>Greater Gaxe</x:v>
      </x:c>
      <x:c r="B302" s="12" t="str">
        <x:v>GREATER GAXE</x:v>
      </x:c>
      <x:c r="C302" s="12" t="str">
        <x:v>weapon</x:v>
      </x:c>
      <x:c r="D302" s="12" t="str">
        <x:v>axe</x:v>
      </x:c>
      <x:c r="E302" s="12" t="str">
        <x:v>mid</x:v>
      </x:c>
      <x:c r="F302" s="12" t="str">
        <x:v>uncommon</x:v>
      </x:c>
      <x:c r="G302" s="12" t="str">
        <x:v>Greater Gaxe — Opening Strike</x:v>
      </x:c>
      <x:c r="H302" s="34" t="n">
        <x:v>1</x:v>
      </x:c>
      <x:c r="I302" s="34" t="str">
        <x:v>attack</x:v>
      </x:c>
      <x:c r="J302" s="34" t="n">
        <x:v>5</x:v>
      </x:c>
      <x:c r="K302" s="34" t="n">
        <x:v>2</x:v>
      </x:c>
      <x:c r="L302" s="34" t="str"/>
      <x:c r="M302" s="12" t="str">
        <x:v>Poison 1 | Target: Gorm</x:v>
      </x:c>
      <x:c r="N302" s="12" t="str">
        <x:v>Heavy, Brutal, Harvest, Attack</x:v>
      </x:c>
      <x:c r="O302" s="12" t="str">
        <x:v>Deal 5 damage. Apply Poison 1 if the target has a Gorm weak point, otherwise gain Marked 1.</x:v>
      </x:c>
      <x:c r="P302" s="12" t="str">
        <x:v>Deal 5 damage with Greater Gaxe. Apply Poison 1 against a matching Gorm weak point; otherwise apply Marked 1. On a failed harvest, keep one common fallback material.</x:v>
      </x:c>
      <x:c r="Q302" s="12" t="str"/>
      <x:c r="R302" s="12" t="str">
        <x:v>quirk: salvage</x:v>
      </x:c>
      <x:c r="S302" s="12" t="str">
        <x:v>f3785bdbbbb8</x:v>
      </x:c>
      <x:c r="T302" s="12" t="n">
        <x:f>COUNTIF($S$2:$S$757,S302)</x:f>
        <x:v>1</x:v>
      </x:c>
      <x:c r="U302" s="12" t="str">
        <x:f>IF(T302=1,"OK","DUPLICATE")</x:f>
        <x:v>OK</x:v>
      </x:c>
    </x:row>
    <x:row r="303" ht="26.399999618530273" hidden="0" customHeight="1">
      <x:c r="A303" s="12" t="str">
        <x:v>Greater Gaxe</x:v>
      </x:c>
      <x:c r="B303" s="12" t="str">
        <x:v>GREATER GAXE</x:v>
      </x:c>
      <x:c r="C303" s="12" t="str">
        <x:v>weapon</x:v>
      </x:c>
      <x:c r="D303" s="12" t="str">
        <x:v>axe</x:v>
      </x:c>
      <x:c r="E303" s="12" t="str">
        <x:v>mid</x:v>
      </x:c>
      <x:c r="F303" s="12" t="str">
        <x:v>uncommon</x:v>
      </x:c>
      <x:c r="G303" s="12" t="str">
        <x:v>Greater Gaxe — Technique</x:v>
      </x:c>
      <x:c r="H303" s="34" t="n">
        <x:v>2</x:v>
      </x:c>
      <x:c r="I303" s="34" t="str">
        <x:v>skill</x:v>
      </x:c>
      <x:c r="J303" s="34" t="str"/>
      <x:c r="K303" s="34" t="str"/>
      <x:c r="L303" s="34" t="n">
        <x:v>2</x:v>
      </x:c>
      <x:c r="M303" s="12" t="str">
        <x:v>Opens: True</x:v>
      </x:c>
      <x:c r="N303" s="12" t="str">
        <x:v>Heavy, Brutal, Harvest, Setup</x:v>
      </x:c>
      <x:c r="O303" s="12" t="str">
        <x:v>Commit to a heavy chop; +3 break damage but failed fragile harvests worsen by one step. Also gain 2 block.</x:v>
      </x:c>
      <x:c r="P303" s="12" t="str">
        <x:v>Commit to a heavy chop; +3 break damage but failed fragile harvests worsen by one step. Gain 2 block. On a failed harvest, keep one common fallback material.</x:v>
      </x:c>
      <x:c r="Q303" s="12" t="str"/>
      <x:c r="R303" s="12" t="str">
        <x:v>quirk: salvage</x:v>
      </x:c>
      <x:c r="S303" s="12" t="str">
        <x:v>0425b283f39b</x:v>
      </x:c>
      <x:c r="T303" s="12" t="n">
        <x:f>COUNTIF($S$2:$S$757,S303)</x:f>
        <x:v>1</x:v>
      </x:c>
      <x:c r="U303" s="12" t="str">
        <x:f>IF(T303=1,"OK","DUPLICATE")</x:f>
        <x:v>OK</x:v>
      </x:c>
    </x:row>
    <x:row r="304" ht="26.399999618530273" hidden="0" customHeight="1">
      <x:c r="A304" s="12" t="str">
        <x:v>Greater Gaxe</x:v>
      </x:c>
      <x:c r="B304" s="12" t="str">
        <x:v>GREATER GAXE</x:v>
      </x:c>
      <x:c r="C304" s="12" t="str">
        <x:v>weapon</x:v>
      </x:c>
      <x:c r="D304" s="12" t="str">
        <x:v>axe</x:v>
      </x:c>
      <x:c r="E304" s="12" t="str">
        <x:v>mid</x:v>
      </x:c>
      <x:c r="F304" s="12" t="str">
        <x:v>uncommon</x:v>
      </x:c>
      <x:c r="G304" s="12" t="str">
        <x:v>Greater Gaxe — Payoff</x:v>
      </x:c>
      <x:c r="H304" s="34" t="n">
        <x:v>3</x:v>
      </x:c>
      <x:c r="I304" s="34" t="str">
        <x:v>attack</x:v>
      </x:c>
      <x:c r="J304" s="34" t="n">
        <x:v>7</x:v>
      </x:c>
      <x:c r="K304" s="34" t="n">
        <x:v>3</x:v>
      </x:c>
      <x:c r="L304" s="34" t="str"/>
      <x:c r="M304" s="12" t="str">
        <x:v>Poison 1</x:v>
      </x:c>
      <x:c r="N304" s="12" t="str">
        <x:v>Heavy, Brutal, Harvest, Payoff, WeakPoint</x:v>
      </x:c>
      <x:c r="O304" s="12" t="str">
        <x:v>Deal 7 damage and 3 break damage. If this breaks a weak point, resolve Poison 1 and the salvage rider.</x:v>
      </x:c>
      <x:c r="P304" s="12" t="str">
        <x:v>Deal 7 damage and 3 break damage. If the weak point breaks, apply Poison 1 and resolve: On a failed harvest, keep one common fallback material.</x:v>
      </x:c>
      <x:c r="Q304" s="12" t="str"/>
      <x:c r="R304" s="12" t="str">
        <x:v>quirk: salvage | countsAsCounter False, firstCounterFree False</x:v>
      </x:c>
      <x:c r="S304" s="12" t="str">
        <x:v>e5f6ca4319f7</x:v>
      </x:c>
      <x:c r="T304" s="12" t="n">
        <x:f>COUNTIF($S$2:$S$757,S304)</x:f>
        <x:v>1</x:v>
      </x:c>
      <x:c r="U304" s="12" t="str">
        <x:f>IF(T304=1,"OK","DUPLICATE")</x:f>
        <x:v>OK</x:v>
      </x:c>
    </x:row>
    <x:row r="305" ht="39.599998474121094" hidden="0" customHeight="1">
      <x:c r="A305" s="12" t="str">
        <x:v>Green Treads</x:v>
      </x:c>
      <x:c r="B305" s="12" t="str">
        <x:v>GREEN BOOTS</x:v>
      </x:c>
      <x:c r="C305" s="12" t="str">
        <x:v>legs</x:v>
      </x:c>
      <x:c r="D305" s="12" t="str">
        <x:v>armor</x:v>
      </x:c>
      <x:c r="E305" s="12" t="str">
        <x:v>mid</x:v>
      </x:c>
      <x:c r="F305" s="12" t="str">
        <x:v>uncommon</x:v>
      </x:c>
      <x:c r="G305" s="12" t="str">
        <x:v>Green Treads — Brace</x:v>
      </x:c>
      <x:c r="H305" s="34" t="n">
        <x:v>1</x:v>
      </x:c>
      <x:c r="I305" s="34" t="str">
        <x:v>skill</x:v>
      </x:c>
      <x:c r="J305" s="34" t="str"/>
      <x:c r="K305" s="34" t="str"/>
      <x:c r="L305" s="34" t="n">
        <x:v>4</x:v>
      </x:c>
      <x:c r="M305" s="12" t="str"/>
      <x:c r="N305" s="12" t="str">
        <x:v>Defensive, Party, WoundCare</x:v>
      </x:c>
      <x:c r="O305" s="12" t="str">
        <x:v>Gain 4 block and Guarded 2. If hit before your next turn, reduce Exposed or Panic by 1.</x:v>
      </x:c>
      <x:c r="P305" s="12" t="str">
        <x:v>Gain 4 block and Guarded 2. If the next monster hit lands before your next turn, reduce Exposed or Panic by 1 after damage. If you deal no HP damage, gain +2 break damage.</x:v>
      </x:c>
      <x:c r="Q305" s="12" t="str"/>
      <x:c r="R305" s="12" t="str">
        <x:v>quirk: careful</x:v>
      </x:c>
      <x:c r="S305" s="12" t="str">
        <x:v>61ad813456b4</x:v>
      </x:c>
      <x:c r="T305" s="12" t="n">
        <x:f>COUNTIF($S$2:$S$757,S305)</x:f>
        <x:v>1</x:v>
      </x:c>
      <x:c r="U305" s="12" t="str">
        <x:f>IF(T305=1,"OK","DUPLICATE")</x:f>
        <x:v>OK</x:v>
      </x:c>
    </x:row>
    <x:row r="306" ht="26.399999618530273" hidden="0" customHeight="1">
      <x:c r="A306" s="12" t="str">
        <x:v>Green Treads</x:v>
      </x:c>
      <x:c r="B306" s="12" t="str">
        <x:v>GREEN BOOTS</x:v>
      </x:c>
      <x:c r="C306" s="12" t="str">
        <x:v>legs</x:v>
      </x:c>
      <x:c r="D306" s="12" t="str">
        <x:v>armor</x:v>
      </x:c>
      <x:c r="E306" s="12" t="str">
        <x:v>mid</x:v>
      </x:c>
      <x:c r="F306" s="12" t="str">
        <x:v>uncommon</x:v>
      </x:c>
      <x:c r="G306" s="12" t="str">
        <x:v>Green Treads — Fitted Plate</x:v>
      </x:c>
      <x:c r="H306" s="34" t="n">
        <x:v>2</x:v>
      </x:c>
      <x:c r="I306" s="34" t="str">
        <x:v>reaction</x:v>
      </x:c>
      <x:c r="J306" s="34" t="str"/>
      <x:c r="K306" s="34" t="str"/>
      <x:c r="L306" s="34" t="n">
        <x:v>6</x:v>
      </x:c>
      <x:c r="M306" s="12" t="str"/>
      <x:c r="N306" s="12" t="str">
        <x:v>Defensive, Party, WoundCare, Reaction</x:v>
      </x:c>
      <x:c r="O306" s="12" t="str">
        <x:v>After damage is previewed, prevent 6 damage. Then give the next ally Guarded 2.</x:v>
      </x:c>
      <x:c r="P306" s="12" t="str">
        <x:v>After incoming damage is previewed, prevent 6 damage with the legs slot. Then the next ally gains Guarded 2. If you deal no HP damage, gain +2 break damage.</x:v>
      </x:c>
      <x:c r="Q306" s="12" t="str"/>
      <x:c r="R306" s="12" t="str">
        <x:v>quirk: careful</x:v>
      </x:c>
      <x:c r="S306" s="12" t="str">
        <x:v>5e62d02be22f</x:v>
      </x:c>
      <x:c r="T306" s="12" t="n">
        <x:f>COUNTIF($S$2:$S$757,S306)</x:f>
        <x:v>1</x:v>
      </x:c>
      <x:c r="U306" s="12" t="str">
        <x:f>IF(T306=1,"OK","DUPLICATE")</x:f>
        <x:v>OK</x:v>
      </x:c>
    </x:row>
    <x:row r="307" ht="39.599998474121094" hidden="0" customHeight="1">
      <x:c r="A307" s="12" t="str">
        <x:v>Green Charm</x:v>
      </x:c>
      <x:c r="B307" s="12" t="str">
        <x:v>GREEN CHARM</x:v>
      </x:c>
      <x:c r="C307" s="12" t="str">
        <x:v>charm</x:v>
      </x:c>
      <x:c r="D307" s="12" t="str">
        <x:v>charm</x:v>
      </x:c>
      <x:c r="E307" s="12" t="str">
        <x:v>early</x:v>
      </x:c>
      <x:c r="F307" s="12" t="str">
        <x:v>uncommon</x:v>
      </x:c>
      <x:c r="G307" s="12" t="str">
        <x:v>Green Charm — Omen</x:v>
      </x:c>
      <x:c r="H307" s="34" t="n">
        <x:v>0</x:v>
      </x:c>
      <x:c r="I307" s="34" t="str">
        <x:v>skill</x:v>
      </x:c>
      <x:c r="J307" s="34" t="str"/>
      <x:c r="K307" s="34" t="str"/>
      <x:c r="L307" s="34" t="str"/>
      <x:c r="M307" s="12" t="str"/>
      <x:c r="N307" s="12" t="str">
        <x:v>Charm, Passive, Survival</x:v>
      </x:c>
      <x:c r="O307" s="12" t="str">
        <x:v>Peek at the next quarry card or weak-point reward. You may mark it; if you do, gain Panic 1.</x:v>
      </x:c>
      <x:c r="P307" s="12" t="str">
        <x:v>Peek at the next quarry AI, hit-location or weak-point reward, depending on screen. You may mark it. If marked, gain Panic 1. If this is your first card this turn, reduce its cost by 1, minimum 0.</x:v>
      </x:c>
      <x:c r="Q307" s="12" t="str"/>
      <x:c r="R307" s="12" t="str">
        <x:v>quirk: tempo</x:v>
      </x:c>
      <x:c r="S307" s="12" t="str">
        <x:v>8c34883b82c7</x:v>
      </x:c>
      <x:c r="T307" s="12" t="n">
        <x:f>COUNTIF($S$2:$S$757,S307)</x:f>
        <x:v>1</x:v>
      </x:c>
      <x:c r="U307" s="12" t="str">
        <x:f>IF(T307=1,"OK","DUPLICATE")</x:f>
        <x:v>OK</x:v>
      </x:c>
    </x:row>
    <x:row r="308" ht="39.599998474121094" hidden="0" customHeight="1">
      <x:c r="A308" s="12" t="str">
        <x:v>Green Charm</x:v>
      </x:c>
      <x:c r="B308" s="12" t="str">
        <x:v>GREEN CHARM</x:v>
      </x:c>
      <x:c r="C308" s="12" t="str">
        <x:v>charm</x:v>
      </x:c>
      <x:c r="D308" s="12" t="str">
        <x:v>charm</x:v>
      </x:c>
      <x:c r="E308" s="12" t="str">
        <x:v>early</x:v>
      </x:c>
      <x:c r="F308" s="12" t="str">
        <x:v>uncommon</x:v>
      </x:c>
      <x:c r="G308" s="12" t="str">
        <x:v>Green Charm — Glimmer</x:v>
      </x:c>
      <x:c r="H308" s="34" t="n">
        <x:v>0</x:v>
      </x:c>
      <x:c r="I308" s="34" t="str">
        <x:v>reaction</x:v>
      </x:c>
      <x:c r="J308" s="34" t="str"/>
      <x:c r="K308" s="34" t="str"/>
      <x:c r="L308" s="34" t="str"/>
      <x:c r="M308" s="12" t="str"/>
      <x:c r="N308" s="12" t="str">
        <x:v>Charm, Passive, Survival</x:v>
      </x:c>
      <x:c r="O308" s="12" t="str">
        <x:v>When Marked or a hunt consequence would affect you, reduce it by 3; exhaust this charm.</x:v>
      </x:c>
      <x:c r="P308" s="12" t="str">
        <x:v>When Marked, Panic, or a hunt consequence would affect this survivor, reduce it by 3; exhaust this charm until the next settlement phase. If this is your first card this turn, reduce its cost by 1, minimum 0.</x:v>
      </x:c>
      <x:c r="Q308" s="12" t="str"/>
      <x:c r="R308" s="12" t="str">
        <x:v>quirk: tempo</x:v>
      </x:c>
      <x:c r="S308" s="12" t="str">
        <x:v>f0d81fa5c99c</x:v>
      </x:c>
      <x:c r="T308" s="12" t="n">
        <x:f>COUNTIF($S$2:$S$757,S308)</x:f>
        <x:v>1</x:v>
      </x:c>
      <x:c r="U308" s="12" t="str">
        <x:f>IF(T308=1,"OK","DUPLICATE")</x:f>
        <x:v>OK</x:v>
      </x:c>
    </x:row>
    <x:row r="309" ht="39.599998474121094" hidden="0" customHeight="1">
      <x:c r="A309" s="12" t="str">
        <x:v>Green Faulds</x:v>
      </x:c>
      <x:c r="B309" s="12" t="str">
        <x:v>GREEN FAULDS</x:v>
      </x:c>
      <x:c r="C309" s="12" t="str">
        <x:v>waist</x:v>
      </x:c>
      <x:c r="D309" s="12" t="str">
        <x:v>armor</x:v>
      </x:c>
      <x:c r="E309" s="12" t="str">
        <x:v>mid</x:v>
      </x:c>
      <x:c r="F309" s="12" t="str">
        <x:v>uncommon</x:v>
      </x:c>
      <x:c r="G309" s="12" t="str">
        <x:v>Green Faulds — Brace</x:v>
      </x:c>
      <x:c r="H309" s="34" t="n">
        <x:v>1</x:v>
      </x:c>
      <x:c r="I309" s="34" t="str">
        <x:v>skill</x:v>
      </x:c>
      <x:c r="J309" s="34" t="str"/>
      <x:c r="K309" s="34" t="str"/>
      <x:c r="L309" s="34" t="n">
        <x:v>6</x:v>
      </x:c>
      <x:c r="M309" s="12" t="str"/>
      <x:c r="N309" s="12" t="str">
        <x:v>Defensive, Party, WoundCare</x:v>
      </x:c>
      <x:c r="O309" s="12" t="str">
        <x:v>Gain 6 block and Guarded 1. If hit before your next turn, reduce Bleed or Panic by 1.</x:v>
      </x:c>
      <x:c r="P309" s="12" t="str">
        <x:v>Gain 6 block and Guarded 1. If the next monster hit lands before your next turn, reduce Bleed or Panic by 1 after damage. If you have no Bleed, Poison or Burn, add +1 to all listed values.</x:v>
      </x:c>
      <x:c r="Q309" s="12" t="str"/>
      <x:c r="R309" s="12" t="str">
        <x:v>quirk: cleanHands</x:v>
      </x:c>
      <x:c r="S309" s="12" t="str">
        <x:v>da892195941c</x:v>
      </x:c>
      <x:c r="T309" s="12" t="n">
        <x:f>COUNTIF($S$2:$S$757,S309)</x:f>
        <x:v>1</x:v>
      </x:c>
      <x:c r="U309" s="12" t="str">
        <x:f>IF(T309=1,"OK","DUPLICATE")</x:f>
        <x:v>OK</x:v>
      </x:c>
    </x:row>
    <x:row r="310" ht="39.599998474121094" hidden="0" customHeight="1">
      <x:c r="A310" s="12" t="str">
        <x:v>Green Faulds</x:v>
      </x:c>
      <x:c r="B310" s="12" t="str">
        <x:v>GREEN FAULDS</x:v>
      </x:c>
      <x:c r="C310" s="12" t="str">
        <x:v>waist</x:v>
      </x:c>
      <x:c r="D310" s="12" t="str">
        <x:v>armor</x:v>
      </x:c>
      <x:c r="E310" s="12" t="str">
        <x:v>mid</x:v>
      </x:c>
      <x:c r="F310" s="12" t="str">
        <x:v>uncommon</x:v>
      </x:c>
      <x:c r="G310" s="12" t="str">
        <x:v>Green Faulds — Fitted Plate</x:v>
      </x:c>
      <x:c r="H310" s="34" t="n">
        <x:v>2</x:v>
      </x:c>
      <x:c r="I310" s="34" t="str">
        <x:v>reaction</x:v>
      </x:c>
      <x:c r="J310" s="34" t="str"/>
      <x:c r="K310" s="34" t="str"/>
      <x:c r="L310" s="34" t="n">
        <x:v>7</x:v>
      </x:c>
      <x:c r="M310" s="12" t="str"/>
      <x:c r="N310" s="12" t="str">
        <x:v>Defensive, Party, WoundCare, Reaction</x:v>
      </x:c>
      <x:c r="O310" s="12" t="str">
        <x:v>After damage is previewed, prevent 7 damage. Then give the next ally Guarded 2.</x:v>
      </x:c>
      <x:c r="P310" s="12" t="str">
        <x:v>After incoming damage is previewed, prevent 7 damage with the waist slot. Then the next ally gains Guarded 2. If you have no Bleed, Poison or Burn, add +1 to all listed values.</x:v>
      </x:c>
      <x:c r="Q310" s="12" t="str"/>
      <x:c r="R310" s="12" t="str">
        <x:v>quirk: cleanHands</x:v>
      </x:c>
      <x:c r="S310" s="12" t="str">
        <x:v>6b5e859b5009</x:v>
      </x:c>
      <x:c r="T310" s="12" t="n">
        <x:f>COUNTIF($S$2:$S$757,S310)</x:f>
        <x:v>1</x:v>
      </x:c>
      <x:c r="U310" s="12" t="str">
        <x:f>IF(T310=1,"OK","DUPLICATE")</x:f>
        <x:v>OK</x:v>
      </x:c>
    </x:row>
    <x:row r="311" ht="39.599998474121094" hidden="0" customHeight="1">
      <x:c r="A311" s="12" t="str">
        <x:v>Green Gloves</x:v>
      </x:c>
      <x:c r="B311" s="12" t="str">
        <x:v>GREEN GLOVES</x:v>
      </x:c>
      <x:c r="C311" s="12" t="str">
        <x:v>arms</x:v>
      </x:c>
      <x:c r="D311" s="12" t="str">
        <x:v>armor</x:v>
      </x:c>
      <x:c r="E311" s="12" t="str">
        <x:v>mid</x:v>
      </x:c>
      <x:c r="F311" s="12" t="str">
        <x:v>uncommon</x:v>
      </x:c>
      <x:c r="G311" s="12" t="str">
        <x:v>Green Gloves — Brace</x:v>
      </x:c>
      <x:c r="H311" s="34" t="n">
        <x:v>1</x:v>
      </x:c>
      <x:c r="I311" s="34" t="str">
        <x:v>skill</x:v>
      </x:c>
      <x:c r="J311" s="34" t="str"/>
      <x:c r="K311" s="34" t="str"/>
      <x:c r="L311" s="34" t="n">
        <x:v>3</x:v>
      </x:c>
      <x:c r="M311" s="12" t="str"/>
      <x:c r="N311" s="12" t="str">
        <x:v>Defensive, Party, WoundCare</x:v>
      </x:c>
      <x:c r="O311" s="12" t="str">
        <x:v>Gain 3 block and Guarded 2. If hit before your next turn, reduce Burn or Panic by 1.</x:v>
      </x:c>
      <x:c r="P311" s="12" t="str">
        <x:v>Gain 3 block and Guarded 2. If the next monster hit lands before your next turn, reduce Burn or Panic by 1 after damage. If this would drop you to 0 HP, resolve the card first, then die if still at 0 HP.</x:v>
      </x:c>
      <x:c r="Q311" s="12" t="str"/>
      <x:c r="R311" s="12" t="str">
        <x:v>quirk: lastLight</x:v>
      </x:c>
      <x:c r="S311" s="12" t="str">
        <x:v>a91a07388dd6</x:v>
      </x:c>
      <x:c r="T311" s="12" t="n">
        <x:f>COUNTIF($S$2:$S$757,S311)</x:f>
        <x:v>1</x:v>
      </x:c>
      <x:c r="U311" s="12" t="str">
        <x:f>IF(T311=1,"OK","DUPLICATE")</x:f>
        <x:v>OK</x:v>
      </x:c>
    </x:row>
    <x:row r="312" ht="39.599998474121094" hidden="0" customHeight="1">
      <x:c r="A312" s="12" t="str">
        <x:v>Green Gloves</x:v>
      </x:c>
      <x:c r="B312" s="12" t="str">
        <x:v>GREEN GLOVES</x:v>
      </x:c>
      <x:c r="C312" s="12" t="str">
        <x:v>arms</x:v>
      </x:c>
      <x:c r="D312" s="12" t="str">
        <x:v>armor</x:v>
      </x:c>
      <x:c r="E312" s="12" t="str">
        <x:v>mid</x:v>
      </x:c>
      <x:c r="F312" s="12" t="str">
        <x:v>uncommon</x:v>
      </x:c>
      <x:c r="G312" s="12" t="str">
        <x:v>Green Gloves — Fitted Plate</x:v>
      </x:c>
      <x:c r="H312" s="34" t="n">
        <x:v>1</x:v>
      </x:c>
      <x:c r="I312" s="34" t="str">
        <x:v>reaction</x:v>
      </x:c>
      <x:c r="J312" s="34" t="str"/>
      <x:c r="K312" s="34" t="str"/>
      <x:c r="L312" s="34" t="n">
        <x:v>5</x:v>
      </x:c>
      <x:c r="M312" s="12" t="str"/>
      <x:c r="N312" s="12" t="str">
        <x:v>Defensive, Party, WoundCare, Reaction</x:v>
      </x:c>
      <x:c r="O312" s="12" t="str">
        <x:v>After damage is previewed, prevent 5 damage. Then give the next ally Guarded 2.</x:v>
      </x:c>
      <x:c r="P312" s="12" t="str">
        <x:v>After incoming damage is previewed, prevent 5 damage with the arms slot. Then the next ally gains Guarded 2. If this would drop you to 0 HP, resolve the card first, then die if still at 0 HP.</x:v>
      </x:c>
      <x:c r="Q312" s="12" t="str"/>
      <x:c r="R312" s="12" t="str">
        <x:v>quirk: lastLight</x:v>
      </x:c>
      <x:c r="S312" s="12" t="str">
        <x:v>1b38a7439df7</x:v>
      </x:c>
      <x:c r="T312" s="12" t="n">
        <x:f>COUNTIF($S$2:$S$757,S312)</x:f>
        <x:v>1</x:v>
      </x:c>
      <x:c r="U312" s="12" t="str">
        <x:f>IF(T312=1,"OK","DUPLICATE")</x:f>
        <x:v>OK</x:v>
      </x:c>
    </x:row>
    <x:row r="313" ht="39.599998474121094" hidden="0" customHeight="1">
      <x:c r="A313" s="12" t="str">
        <x:v>Green Crown</x:v>
      </x:c>
      <x:c r="B313" s="12" t="str">
        <x:v>GREEN HELM</x:v>
      </x:c>
      <x:c r="C313" s="12" t="str">
        <x:v>head</x:v>
      </x:c>
      <x:c r="D313" s="12" t="str">
        <x:v>armor</x:v>
      </x:c>
      <x:c r="E313" s="12" t="str">
        <x:v>mid</x:v>
      </x:c>
      <x:c r="F313" s="12" t="str">
        <x:v>uncommon</x:v>
      </x:c>
      <x:c r="G313" s="12" t="str">
        <x:v>Green Crown — Brace</x:v>
      </x:c>
      <x:c r="H313" s="34" t="n">
        <x:v>1</x:v>
      </x:c>
      <x:c r="I313" s="34" t="str">
        <x:v>skill</x:v>
      </x:c>
      <x:c r="J313" s="34" t="str"/>
      <x:c r="K313" s="34" t="str"/>
      <x:c r="L313" s="34" t="n">
        <x:v>4</x:v>
      </x:c>
      <x:c r="M313" s="12" t="str"/>
      <x:c r="N313" s="12" t="str">
        <x:v>Defensive, Party, WoundCare</x:v>
      </x:c>
      <x:c r="O313" s="12" t="str">
        <x:v>Gain 4 block and Guarded 3. If hit before your next turn, reduce Poison or Panic by 1.</x:v>
      </x:c>
      <x:c r="P313" s="12" t="str">
        <x:v>Gain 4 block and Guarded 3. If the next monster hit lands before your next turn, reduce Poison or Panic by 1 after damage. If this is your first card this turn, reduce its cost by 1, minimum 0.</x:v>
      </x:c>
      <x:c r="Q313" s="12" t="str"/>
      <x:c r="R313" s="12" t="str">
        <x:v>quirk: tempo</x:v>
      </x:c>
      <x:c r="S313" s="12" t="str">
        <x:v>2f1db563ec5c</x:v>
      </x:c>
      <x:c r="T313" s="12" t="n">
        <x:f>COUNTIF($S$2:$S$757,S313)</x:f>
        <x:v>1</x:v>
      </x:c>
      <x:c r="U313" s="12" t="str">
        <x:f>IF(T313=1,"OK","DUPLICATE")</x:f>
        <x:v>OK</x:v>
      </x:c>
    </x:row>
    <x:row r="314" ht="39.599998474121094" hidden="0" customHeight="1">
      <x:c r="A314" s="12" t="str">
        <x:v>Green Crown</x:v>
      </x:c>
      <x:c r="B314" s="12" t="str">
        <x:v>GREEN HELM</x:v>
      </x:c>
      <x:c r="C314" s="12" t="str">
        <x:v>head</x:v>
      </x:c>
      <x:c r="D314" s="12" t="str">
        <x:v>armor</x:v>
      </x:c>
      <x:c r="E314" s="12" t="str">
        <x:v>mid</x:v>
      </x:c>
      <x:c r="F314" s="12" t="str">
        <x:v>uncommon</x:v>
      </x:c>
      <x:c r="G314" s="12" t="str">
        <x:v>Green Crown — Fitted Plate</x:v>
      </x:c>
      <x:c r="H314" s="34" t="n">
        <x:v>2</x:v>
      </x:c>
      <x:c r="I314" s="34" t="str">
        <x:v>reaction</x:v>
      </x:c>
      <x:c r="J314" s="34" t="str"/>
      <x:c r="K314" s="34" t="str"/>
      <x:c r="L314" s="34" t="n">
        <x:v>7</x:v>
      </x:c>
      <x:c r="M314" s="12" t="str"/>
      <x:c r="N314" s="12" t="str">
        <x:v>Defensive, Party, WoundCare, Reaction</x:v>
      </x:c>
      <x:c r="O314" s="12" t="str">
        <x:v>After damage is previewed, prevent 7 damage. Then give the next ally Guarded 2.</x:v>
      </x:c>
      <x:c r="P314" s="12" t="str">
        <x:v>After incoming damage is previewed, prevent 7 damage with the head slot. Then the next ally gains Guarded 2. If this is your first card this turn, reduce its cost by 1, minimum 0.</x:v>
      </x:c>
      <x:c r="Q314" s="12" t="str"/>
      <x:c r="R314" s="12" t="str">
        <x:v>quirk: tempo</x:v>
      </x:c>
      <x:c r="S314" s="12" t="str">
        <x:v>b3a520186b0a</x:v>
      </x:c>
      <x:c r="T314" s="12" t="n">
        <x:f>COUNTIF($S$2:$S$757,S314)</x:f>
        <x:v>1</x:v>
      </x:c>
      <x:c r="U314" s="12" t="str">
        <x:f>IF(T314=1,"OK","DUPLICATE")</x:f>
        <x:v>OK</x:v>
      </x:c>
    </x:row>
    <x:row r="315" ht="39.599998474121094" hidden="0" customHeight="1">
      <x:c r="A315" s="12" t="str">
        <x:v>Green Knight Armor Set</x:v>
      </x:c>
      <x:c r="B315" s="12" t="str">
        <x:v>GREEN KNIGHT ARMOR SET</x:v>
      </x:c>
      <x:c r="C315" s="12" t="str">
        <x:v>set</x:v>
      </x:c>
      <x:c r="D315" s="12" t="str">
        <x:v>armor</x:v>
      </x:c>
      <x:c r="E315" s="12" t="str">
        <x:v>mid</x:v>
      </x:c>
      <x:c r="F315" s="12" t="str">
        <x:v>uncommon</x:v>
      </x:c>
      <x:c r="G315" s="12" t="str">
        <x:v>Green Knight Armor Set — Brace</x:v>
      </x:c>
      <x:c r="H315" s="34" t="n">
        <x:v>1</x:v>
      </x:c>
      <x:c r="I315" s="34" t="str">
        <x:v>skill</x:v>
      </x:c>
      <x:c r="J315" s="34" t="str"/>
      <x:c r="K315" s="34" t="str"/>
      <x:c r="L315" s="34" t="n">
        <x:v>5</x:v>
      </x:c>
      <x:c r="M315" s="12" t="str"/>
      <x:c r="N315" s="12" t="str">
        <x:v>Defensive, Party, WoundCare</x:v>
      </x:c>
      <x:c r="O315" s="12" t="str">
        <x:v>Gain 5 block and Guarded 1. If hit before your next turn, reduce Snared or Panic by 1.</x:v>
      </x:c>
      <x:c r="P315" s="12" t="str">
        <x:v>Gain 5 block and Guarded 1. If the next monster hit lands before your next turn, reduce Snared or Panic by 1 after damage. If you already played an attack this turn, add +1 damage or +1 block.</x:v>
      </x:c>
      <x:c r="Q315" s="12" t="str"/>
      <x:c r="R315" s="12" t="str">
        <x:v>quirk: followUp</x:v>
      </x:c>
      <x:c r="S315" s="12" t="str">
        <x:v>1a21e18b706b</x:v>
      </x:c>
      <x:c r="T315" s="12" t="n">
        <x:f>COUNTIF($S$2:$S$757,S315)</x:f>
        <x:v>1</x:v>
      </x:c>
      <x:c r="U315" s="12" t="str">
        <x:f>IF(T315=1,"OK","DUPLICATE")</x:f>
        <x:v>OK</x:v>
      </x:c>
    </x:row>
    <x:row r="316" ht="39.599998474121094" hidden="0" customHeight="1">
      <x:c r="A316" s="12" t="str">
        <x:v>Green Knight Armor Set</x:v>
      </x:c>
      <x:c r="B316" s="12" t="str">
        <x:v>GREEN KNIGHT ARMOR SET</x:v>
      </x:c>
      <x:c r="C316" s="12" t="str">
        <x:v>set</x:v>
      </x:c>
      <x:c r="D316" s="12" t="str">
        <x:v>armor</x:v>
      </x:c>
      <x:c r="E316" s="12" t="str">
        <x:v>mid</x:v>
      </x:c>
      <x:c r="F316" s="12" t="str">
        <x:v>uncommon</x:v>
      </x:c>
      <x:c r="G316" s="12" t="str">
        <x:v>Green Knight Armor Set — Setline</x:v>
      </x:c>
      <x:c r="H316" s="34" t="n">
        <x:v>1</x:v>
      </x:c>
      <x:c r="I316" s="34" t="str">
        <x:v>reaction</x:v>
      </x:c>
      <x:c r="J316" s="34" t="str"/>
      <x:c r="K316" s="34" t="str"/>
      <x:c r="L316" s="34" t="n">
        <x:v>6</x:v>
      </x:c>
      <x:c r="M316" s="12" t="str"/>
      <x:c r="N316" s="12" t="str">
        <x:v>Defensive, Party, WoundCare, Reaction</x:v>
      </x:c>
      <x:c r="O316" s="12" t="str">
        <x:v>After damage is previewed, prevent 6 damage. Then give the next ally Guarded 2.</x:v>
      </x:c>
      <x:c r="P316" s="12" t="str">
        <x:v>After incoming damage is previewed, prevent 6 damage with the set slot. Then the next ally gains Guarded 2. If you already played an attack this turn, add +1 damage or +1 block.</x:v>
      </x:c>
      <x:c r="Q316" s="12" t="str"/>
      <x:c r="R316" s="12" t="str">
        <x:v>quirk: followUp</x:v>
      </x:c>
      <x:c r="S316" s="12" t="str">
        <x:v>b374cbabd9bb</x:v>
      </x:c>
      <x:c r="T316" s="12" t="n">
        <x:f>COUNTIF($S$2:$S$757,S316)</x:f>
        <x:v>1</x:v>
      </x:c>
      <x:c r="U316" s="12" t="str">
        <x:f>IF(T316=1,"OK","DUPLICATE")</x:f>
        <x:v>OK</x:v>
      </x:c>
    </x:row>
    <x:row r="317" ht="39.599998474121094" hidden="0" customHeight="1">
      <x:c r="A317" s="12" t="str">
        <x:v>Green Plate</x:v>
      </x:c>
      <x:c r="B317" s="12" t="str">
        <x:v>GREEN PLATE</x:v>
      </x:c>
      <x:c r="C317" s="12" t="str">
        <x:v>body</x:v>
      </x:c>
      <x:c r="D317" s="12" t="str">
        <x:v>armor</x:v>
      </x:c>
      <x:c r="E317" s="12" t="str">
        <x:v>mid</x:v>
      </x:c>
      <x:c r="F317" s="12" t="str">
        <x:v>uncommon</x:v>
      </x:c>
      <x:c r="G317" s="12" t="str">
        <x:v>Green Plate — Brace</x:v>
      </x:c>
      <x:c r="H317" s="34" t="n">
        <x:v>1</x:v>
      </x:c>
      <x:c r="I317" s="34" t="str">
        <x:v>skill</x:v>
      </x:c>
      <x:c r="J317" s="34" t="str"/>
      <x:c r="K317" s="34" t="str"/>
      <x:c r="L317" s="34" t="n">
        <x:v>6</x:v>
      </x:c>
      <x:c r="M317" s="12" t="str"/>
      <x:c r="N317" s="12" t="str">
        <x:v>Defensive, Party, WoundCare</x:v>
      </x:c>
      <x:c r="O317" s="12" t="str">
        <x:v>Gain 6 block and Guarded 2. If hit before your next turn, reduce Shock or Panic by 1.</x:v>
      </x:c>
      <x:c r="P317" s="12" t="str">
        <x:v>Gain 6 block and Guarded 2. If the next monster hit lands before your next turn, reduce Shock or Panic by 1 after damage. If the quarry is below half HP, add +1 break damage.</x:v>
      </x:c>
      <x:c r="Q317" s="12" t="str"/>
      <x:c r="R317" s="12" t="str">
        <x:v>quirk: bloodied</x:v>
      </x:c>
      <x:c r="S317" s="12" t="str">
        <x:v>f6490d632a3e</x:v>
      </x:c>
      <x:c r="T317" s="12" t="n">
        <x:f>COUNTIF($S$2:$S$757,S317)</x:f>
        <x:v>1</x:v>
      </x:c>
      <x:c r="U317" s="12" t="str">
        <x:f>IF(T317=1,"OK","DUPLICATE")</x:f>
        <x:v>OK</x:v>
      </x:c>
    </x:row>
    <x:row r="318" ht="26.399999618530273" hidden="0" customHeight="1">
      <x:c r="A318" s="12" t="str">
        <x:v>Green Plate</x:v>
      </x:c>
      <x:c r="B318" s="12" t="str">
        <x:v>GREEN PLATE</x:v>
      </x:c>
      <x:c r="C318" s="12" t="str">
        <x:v>body</x:v>
      </x:c>
      <x:c r="D318" s="12" t="str">
        <x:v>armor</x:v>
      </x:c>
      <x:c r="E318" s="12" t="str">
        <x:v>mid</x:v>
      </x:c>
      <x:c r="F318" s="12" t="str">
        <x:v>uncommon</x:v>
      </x:c>
      <x:c r="G318" s="12" t="str">
        <x:v>Green Plate — Fitted Plate</x:v>
      </x:c>
      <x:c r="H318" s="34" t="n">
        <x:v>2</x:v>
      </x:c>
      <x:c r="I318" s="34" t="str">
        <x:v>reaction</x:v>
      </x:c>
      <x:c r="J318" s="34" t="str"/>
      <x:c r="K318" s="34" t="str"/>
      <x:c r="L318" s="34" t="n">
        <x:v>8</x:v>
      </x:c>
      <x:c r="M318" s="12" t="str"/>
      <x:c r="N318" s="12" t="str">
        <x:v>Defensive, Party, WoundCare, Reaction</x:v>
      </x:c>
      <x:c r="O318" s="12" t="str">
        <x:v>After damage is previewed, prevent 8 damage. Then give the next ally Guarded 2.</x:v>
      </x:c>
      <x:c r="P318" s="12" t="str">
        <x:v>After incoming damage is previewed, prevent 8 damage with the body slot. Then the next ally gains Guarded 2. If the quarry is below half HP, add +1 break damage.</x:v>
      </x:c>
      <x:c r="Q318" s="12" t="str"/>
      <x:c r="R318" s="12" t="str">
        <x:v>quirk: bloodied</x:v>
      </x:c>
      <x:c r="S318" s="12" t="str">
        <x:v>722a8f8f4ae0</x:v>
      </x:c>
      <x:c r="T318" s="12" t="n">
        <x:f>COUNTIF($S$2:$S$757,S318)</x:f>
        <x:v>1</x:v>
      </x:c>
      <x:c r="U318" s="12" t="str">
        <x:f>IF(T318=1,"OK","DUPLICATE")</x:f>
        <x:v>OK</x:v>
      </x:c>
    </x:row>
    <x:row r="319" ht="39.599998474121094" hidden="0" customHeight="1">
      <x:c r="A319" s="12" t="str">
        <x:v>Green Ring</x:v>
      </x:c>
      <x:c r="B319" s="12" t="str">
        <x:v>GREEN RING</x:v>
      </x:c>
      <x:c r="C319" s="12" t="str">
        <x:v>arms</x:v>
      </x:c>
      <x:c r="D319" s="12" t="str">
        <x:v>charm</x:v>
      </x:c>
      <x:c r="E319" s="12" t="str">
        <x:v>mid</x:v>
      </x:c>
      <x:c r="F319" s="12" t="str">
        <x:v>uncommon</x:v>
      </x:c>
      <x:c r="G319" s="12" t="str">
        <x:v>Green Ring — Omen</x:v>
      </x:c>
      <x:c r="H319" s="34" t="n">
        <x:v>0</x:v>
      </x:c>
      <x:c r="I319" s="34" t="str">
        <x:v>skill</x:v>
      </x:c>
      <x:c r="J319" s="34" t="str"/>
      <x:c r="K319" s="34" t="str"/>
      <x:c r="L319" s="34" t="str"/>
      <x:c r="M319" s="12" t="str"/>
      <x:c r="N319" s="12" t="str">
        <x:v>Charm, Passive, Survival</x:v>
      </x:c>
      <x:c r="O319" s="12" t="str">
        <x:v>Peek at the next quarry card or weak-point reward. You may mark it; if you do, gain Panic 1.</x:v>
      </x:c>
      <x:c r="P319" s="12" t="str">
        <x:v>Peek at the next quarry AI, hit-location or weak-point reward, depending on screen. You may mark it. If marked, gain Panic 1. If this breaks a weak point, improve harvest quality by one step unless it is already Clean.</x:v>
      </x:c>
      <x:c r="Q319" s="12" t="str"/>
      <x:c r="R319" s="12" t="str">
        <x:v>quirk: harvest</x:v>
      </x:c>
      <x:c r="S319" s="12" t="str">
        <x:v>89dd0063ed53</x:v>
      </x:c>
      <x:c r="T319" s="12" t="n">
        <x:f>COUNTIF($S$2:$S$757,S319)</x:f>
        <x:v>1</x:v>
      </x:c>
      <x:c r="U319" s="12" t="str">
        <x:f>IF(T319=1,"OK","DUPLICATE")</x:f>
        <x:v>OK</x:v>
      </x:c>
    </x:row>
    <x:row r="320" ht="39.599998474121094" hidden="0" customHeight="1">
      <x:c r="A320" s="12" t="str">
        <x:v>Green Ring</x:v>
      </x:c>
      <x:c r="B320" s="12" t="str">
        <x:v>GREEN RING</x:v>
      </x:c>
      <x:c r="C320" s="12" t="str">
        <x:v>arms</x:v>
      </x:c>
      <x:c r="D320" s="12" t="str">
        <x:v>charm</x:v>
      </x:c>
      <x:c r="E320" s="12" t="str">
        <x:v>mid</x:v>
      </x:c>
      <x:c r="F320" s="12" t="str">
        <x:v>uncommon</x:v>
      </x:c>
      <x:c r="G320" s="12" t="str">
        <x:v>Green Ring — Glimmer</x:v>
      </x:c>
      <x:c r="H320" s="34" t="n">
        <x:v>0</x:v>
      </x:c>
      <x:c r="I320" s="34" t="str">
        <x:v>reaction</x:v>
      </x:c>
      <x:c r="J320" s="34" t="str"/>
      <x:c r="K320" s="34" t="str"/>
      <x:c r="L320" s="34" t="str"/>
      <x:c r="M320" s="12" t="str"/>
      <x:c r="N320" s="12" t="str">
        <x:v>Charm, Passive, Survival</x:v>
      </x:c>
      <x:c r="O320" s="12" t="str">
        <x:v>When Snared or a hunt consequence would affect you, reduce it by 4; exhaust this charm.</x:v>
      </x:c>
      <x:c r="P320" s="12" t="str">
        <x:v>When Snared, Panic, or a hunt consequence would affect this survivor, reduce it by 4; exhaust this charm until the next settlement phase. If this breaks a weak point, improve harvest quality by one step unless it is already Clean.</x:v>
      </x:c>
      <x:c r="Q320" s="12" t="str"/>
      <x:c r="R320" s="12" t="str">
        <x:v>quirk: harvest</x:v>
      </x:c>
      <x:c r="S320" s="12" t="str">
        <x:v>3c97d3077dc2</x:v>
      </x:c>
      <x:c r="T320" s="12" t="n">
        <x:f>COUNTIF($S$2:$S$757,S320)</x:f>
        <x:v>1</x:v>
      </x:c>
      <x:c r="U320" s="12" t="str">
        <x:f>IF(T320=1,"OK","DUPLICATE")</x:f>
        <x:v>OK</x:v>
      </x:c>
    </x:row>
    <x:row r="321" ht="39.599998474121094" hidden="0" customHeight="1">
      <x:c r="A321" s="12" t="str">
        <x:v>Griswaldo</x:v>
      </x:c>
      <x:c r="B321" s="12" t="str">
        <x:v>GRISWALDO</x:v>
      </x:c>
      <x:c r="C321" s="12" t="str">
        <x:v>body</x:v>
      </x:c>
      <x:c r="D321" s="12" t="str">
        <x:v>armor</x:v>
      </x:c>
      <x:c r="E321" s="12" t="str">
        <x:v>mid</x:v>
      </x:c>
      <x:c r="F321" s="12" t="str">
        <x:v>uncommon</x:v>
      </x:c>
      <x:c r="G321" s="12" t="str">
        <x:v>Griswaldo — Brace</x:v>
      </x:c>
      <x:c r="H321" s="34" t="n">
        <x:v>1</x:v>
      </x:c>
      <x:c r="I321" s="34" t="str">
        <x:v>skill</x:v>
      </x:c>
      <x:c r="J321" s="34" t="str"/>
      <x:c r="K321" s="34" t="str"/>
      <x:c r="L321" s="34" t="n">
        <x:v>4</x:v>
      </x:c>
      <x:c r="M321" s="12" t="str"/>
      <x:c r="N321" s="12" t="str">
        <x:v>Defensive, Party, WoundCare</x:v>
      </x:c>
      <x:c r="O321" s="12" t="str">
        <x:v>Gain 4 block and Guarded 1. If hit before your next turn, reduce Stagger or Panic by 1.</x:v>
      </x:c>
      <x:c r="P321" s="12" t="str">
        <x:v>Gain 4 block and Guarded 1. If the next monster hit lands before your next turn, reduce Stagger or Panic by 1 after damage. If you have Guarded, convert 1 Guarded into +2 damage.</x:v>
      </x:c>
      <x:c r="Q321" s="12" t="str"/>
      <x:c r="R321" s="12" t="str">
        <x:v>quirk: guarded</x:v>
      </x:c>
      <x:c r="S321" s="12" t="str">
        <x:v>e33a1b549367</x:v>
      </x:c>
      <x:c r="T321" s="12" t="n">
        <x:f>COUNTIF($S$2:$S$757,S321)</x:f>
        <x:v>1</x:v>
      </x:c>
      <x:c r="U321" s="12" t="str">
        <x:f>IF(T321=1,"OK","DUPLICATE")</x:f>
        <x:v>OK</x:v>
      </x:c>
    </x:row>
    <x:row r="322" ht="39.599998474121094" hidden="0" customHeight="1">
      <x:c r="A322" s="12" t="str">
        <x:v>Griswaldo</x:v>
      </x:c>
      <x:c r="B322" s="12" t="str">
        <x:v>GRISWALDO</x:v>
      </x:c>
      <x:c r="C322" s="12" t="str">
        <x:v>body</x:v>
      </x:c>
      <x:c r="D322" s="12" t="str">
        <x:v>armor</x:v>
      </x:c>
      <x:c r="E322" s="12" t="str">
        <x:v>mid</x:v>
      </x:c>
      <x:c r="F322" s="12" t="str">
        <x:v>uncommon</x:v>
      </x:c>
      <x:c r="G322" s="12" t="str">
        <x:v>Griswaldo — Fitted Plate</x:v>
      </x:c>
      <x:c r="H322" s="34" t="n">
        <x:v>2</x:v>
      </x:c>
      <x:c r="I322" s="34" t="str">
        <x:v>reaction</x:v>
      </x:c>
      <x:c r="J322" s="34" t="str"/>
      <x:c r="K322" s="34" t="str"/>
      <x:c r="L322" s="34" t="n">
        <x:v>5</x:v>
      </x:c>
      <x:c r="M322" s="12" t="str"/>
      <x:c r="N322" s="12" t="str">
        <x:v>Defensive, Party, WoundCare, Reaction</x:v>
      </x:c>
      <x:c r="O322" s="12" t="str">
        <x:v>After damage is previewed, prevent 5 damage. Then give the next ally Guarded 2.</x:v>
      </x:c>
      <x:c r="P322" s="12" t="str">
        <x:v>After incoming damage is previewed, prevent 5 damage with the body slot. Then the next ally gains Guarded 2. If you have Guarded, convert 1 Guarded into +2 damage.</x:v>
      </x:c>
      <x:c r="Q322" s="12" t="str"/>
      <x:c r="R322" s="12" t="str">
        <x:v>quirk: guarded</x:v>
      </x:c>
      <x:c r="S322" s="12" t="str">
        <x:v>58618075960d</x:v>
      </x:c>
      <x:c r="T322" s="12" t="n">
        <x:f>COUNTIF($S$2:$S$757,S322)</x:f>
        <x:v>1</x:v>
      </x:c>
      <x:c r="U322" s="12" t="str">
        <x:f>IF(T322=1,"OK","DUPLICATE")</x:f>
        <x:v>OK</x:v>
      </x:c>
    </x:row>
    <x:row r="323" ht="39.599998474121094" hidden="0" customHeight="1">
      <x:c r="A323" s="12" t="str">
        <x:v>Hard Breastplate</x:v>
      </x:c>
      <x:c r="B323" s="12" t="str">
        <x:v>HARD BREASTPLATE</x:v>
      </x:c>
      <x:c r="C323" s="12" t="str">
        <x:v>body</x:v>
      </x:c>
      <x:c r="D323" s="12" t="str">
        <x:v>armor</x:v>
      </x:c>
      <x:c r="E323" s="12" t="str">
        <x:v>early</x:v>
      </x:c>
      <x:c r="F323" s="12" t="str">
        <x:v>uncommon</x:v>
      </x:c>
      <x:c r="G323" s="12" t="str">
        <x:v>Hard Breastplate — Brace</x:v>
      </x:c>
      <x:c r="H323" s="34" t="n">
        <x:v>1</x:v>
      </x:c>
      <x:c r="I323" s="34" t="str">
        <x:v>skill</x:v>
      </x:c>
      <x:c r="J323" s="34" t="str"/>
      <x:c r="K323" s="34" t="str"/>
      <x:c r="L323" s="34" t="n">
        <x:v>4</x:v>
      </x:c>
      <x:c r="M323" s="12" t="str"/>
      <x:c r="N323" s="12" t="str">
        <x:v>Defensive, Party, WoundCare</x:v>
      </x:c>
      <x:c r="O323" s="12" t="str">
        <x:v>Gain 4 block and Guarded 2. If hit before your next turn, reduce Exposed or Panic by 1.</x:v>
      </x:c>
      <x:c r="P323" s="12" t="str">
        <x:v>Gain 4 block and Guarded 2. If the next monster hit lands before your next turn, reduce Exposed or Panic by 1 after damage. If you have any wound, add +1 damage but gain Panic 1.</x:v>
      </x:c>
      <x:c r="Q323" s="12" t="str"/>
      <x:c r="R323" s="12" t="str">
        <x:v>quirk: wounded</x:v>
      </x:c>
      <x:c r="S323" s="12" t="str">
        <x:v>c4b4c28e4dfe</x:v>
      </x:c>
      <x:c r="T323" s="12" t="n">
        <x:f>COUNTIF($S$2:$S$757,S323)</x:f>
        <x:v>1</x:v>
      </x:c>
      <x:c r="U323" s="12" t="str">
        <x:f>IF(T323=1,"OK","DUPLICATE")</x:f>
        <x:v>OK</x:v>
      </x:c>
    </x:row>
    <x:row r="324" ht="39.599998474121094" hidden="0" customHeight="1">
      <x:c r="A324" s="12" t="str">
        <x:v>Hard Breastplate</x:v>
      </x:c>
      <x:c r="B324" s="12" t="str">
        <x:v>HARD BREASTPLATE</x:v>
      </x:c>
      <x:c r="C324" s="12" t="str">
        <x:v>body</x:v>
      </x:c>
      <x:c r="D324" s="12" t="str">
        <x:v>armor</x:v>
      </x:c>
      <x:c r="E324" s="12" t="str">
        <x:v>early</x:v>
      </x:c>
      <x:c r="F324" s="12" t="str">
        <x:v>uncommon</x:v>
      </x:c>
      <x:c r="G324" s="12" t="str">
        <x:v>Hard Breastplate — Fitted Plate</x:v>
      </x:c>
      <x:c r="H324" s="34" t="n">
        <x:v>1</x:v>
      </x:c>
      <x:c r="I324" s="34" t="str">
        <x:v>reaction</x:v>
      </x:c>
      <x:c r="J324" s="34" t="str"/>
      <x:c r="K324" s="34" t="str"/>
      <x:c r="L324" s="34" t="n">
        <x:v>6</x:v>
      </x:c>
      <x:c r="M324" s="12" t="str"/>
      <x:c r="N324" s="12" t="str">
        <x:v>Defensive, Party, WoundCare, Reaction</x:v>
      </x:c>
      <x:c r="O324" s="12" t="str">
        <x:v>After damage is previewed, prevent 6 damage. Then give the next ally Guarded 1.</x:v>
      </x:c>
      <x:c r="P324" s="12" t="str">
        <x:v>After incoming damage is previewed, prevent 6 damage with the body slot. Then the next ally gains Guarded 1. If you have any wound, add +1 damage but gain Panic 1.</x:v>
      </x:c>
      <x:c r="Q324" s="12" t="str"/>
      <x:c r="R324" s="12" t="str">
        <x:v>quirk: wounded</x:v>
      </x:c>
      <x:c r="S324" s="12" t="str">
        <x:v>03242e141ca0</x:v>
      </x:c>
      <x:c r="T324" s="12" t="n">
        <x:f>COUNTIF($S$2:$S$757,S324)</x:f>
        <x:v>1</x:v>
      </x:c>
      <x:c r="U324" s="12" t="str">
        <x:f>IF(T324=1,"OK","DUPLICATE")</x:f>
        <x:v>OK</x:v>
      </x:c>
    </x:row>
    <x:row r="325" ht="39.599998474121094" hidden="0" customHeight="1">
      <x:c r="A325" s="12" t="str">
        <x:v>Hardened Scrap Knife</x:v>
      </x:c>
      <x:c r="B325" s="12" t="str">
        <x:v>HARDENED SCRAP DAGGER</x:v>
      </x:c>
      <x:c r="C325" s="12" t="str">
        <x:v>weapon</x:v>
      </x:c>
      <x:c r="D325" s="12" t="str">
        <x:v>dagger</x:v>
      </x:c>
      <x:c r="E325" s="12" t="str">
        <x:v>early</x:v>
      </x:c>
      <x:c r="F325" s="12" t="str">
        <x:v>uncommon</x:v>
      </x:c>
      <x:c r="G325" s="12" t="str">
        <x:v>Hardened Scrap Knife — Opening Cut</x:v>
      </x:c>
      <x:c r="H325" s="34" t="n">
        <x:v>0</x:v>
      </x:c>
      <x:c r="I325" s="34" t="str">
        <x:v>attack</x:v>
      </x:c>
      <x:c r="J325" s="34" t="n">
        <x:v>3</x:v>
      </x:c>
      <x:c r="K325" s="34" t="n">
        <x:v>2</x:v>
      </x:c>
      <x:c r="L325" s="34" t="str"/>
      <x:c r="M325" s="12" t="str">
        <x:v>Marked 3 | Target: Settlement</x:v>
      </x:c>
      <x:c r="N325" s="12" t="str">
        <x:v>Quick, Precise, Harvest, Attack</x:v>
      </x:c>
      <x:c r="O325" s="12" t="str">
        <x:v>Deal 3 damage. Apply Marked 3 if the target has a Settlement weak point, otherwise gain Marked 1.</x:v>
      </x:c>
      <x:c r="P325" s="12" t="str">
        <x:v>Deal 3 damage with Hardened Scrap Knife. Apply Marked 3 against a matching Settlement weak point; otherwise apply Marked 1. If the quarry is Marked, draw 1 then discard 1.</x:v>
      </x:c>
      <x:c r="Q325" s="12" t="str"/>
      <x:c r="R325" s="12" t="str">
        <x:v>quirk: marked</x:v>
      </x:c>
      <x:c r="S325" s="12" t="str">
        <x:v>3c6462362fbc</x:v>
      </x:c>
      <x:c r="T325" s="12" t="n">
        <x:f>COUNTIF($S$2:$S$757,S325)</x:f>
        <x:v>1</x:v>
      </x:c>
      <x:c r="U325" s="12" t="str">
        <x:f>IF(T325=1,"OK","DUPLICATE")</x:f>
        <x:v>OK</x:v>
      </x:c>
    </x:row>
    <x:row r="326" ht="26.399999618530273" hidden="0" customHeight="1">
      <x:c r="A326" s="12" t="str">
        <x:v>Hardened Scrap Knife</x:v>
      </x:c>
      <x:c r="B326" s="12" t="str">
        <x:v>HARDENED SCRAP DAGGER</x:v>
      </x:c>
      <x:c r="C326" s="12" t="str">
        <x:v>weapon</x:v>
      </x:c>
      <x:c r="D326" s="12" t="str">
        <x:v>dagger</x:v>
      </x:c>
      <x:c r="E326" s="12" t="str">
        <x:v>early</x:v>
      </x:c>
      <x:c r="F326" s="12" t="str">
        <x:v>uncommon</x:v>
      </x:c>
      <x:c r="G326" s="12" t="str">
        <x:v>Hardened Scrap Knife — Technique</x:v>
      </x:c>
      <x:c r="H326" s="34" t="n">
        <x:v>2</x:v>
      </x:c>
      <x:c r="I326" s="34" t="str">
        <x:v>skill</x:v>
      </x:c>
      <x:c r="J326" s="34" t="str"/>
      <x:c r="K326" s="34" t="str"/>
      <x:c r="L326" s="34" t="n">
        <x:v>3</x:v>
      </x:c>
      <x:c r="M326" s="12" t="str">
        <x:v>Opens: True</x:v>
      </x:c>
      <x:c r="N326" s="12" t="str">
        <x:v>Quick, Precise, Harvest, Setup</x:v>
      </x:c>
      <x:c r="O326" s="12" t="str">
        <x:v>Expose a fragile weak point; next knife attack gains +2 break damage. Also gain 3 block.</x:v>
      </x:c>
      <x:c r="P326" s="12" t="str">
        <x:v>Expose a fragile weak point; next knife attack gains +2 break damage. Gain 3 block. If the quarry is Marked, draw 1 then discard 1.</x:v>
      </x:c>
      <x:c r="Q326" s="12" t="str"/>
      <x:c r="R326" s="12" t="str">
        <x:v>quirk: marked</x:v>
      </x:c>
      <x:c r="S326" s="12" t="str">
        <x:v>14b1496bfa4d</x:v>
      </x:c>
      <x:c r="T326" s="12" t="n">
        <x:f>COUNTIF($S$2:$S$757,S326)</x:f>
        <x:v>1</x:v>
      </x:c>
      <x:c r="U326" s="12" t="str">
        <x:f>IF(T326=1,"OK","DUPLICATE")</x:f>
        <x:v>OK</x:v>
      </x:c>
    </x:row>
    <x:row r="327" ht="26.399999618530273" hidden="0" customHeight="1">
      <x:c r="A327" s="12" t="str">
        <x:v>Hardened Scrap Knife</x:v>
      </x:c>
      <x:c r="B327" s="12" t="str">
        <x:v>HARDENED SCRAP DAGGER</x:v>
      </x:c>
      <x:c r="C327" s="12" t="str">
        <x:v>weapon</x:v>
      </x:c>
      <x:c r="D327" s="12" t="str">
        <x:v>dagger</x:v>
      </x:c>
      <x:c r="E327" s="12" t="str">
        <x:v>early</x:v>
      </x:c>
      <x:c r="F327" s="12" t="str">
        <x:v>uncommon</x:v>
      </x:c>
      <x:c r="G327" s="12" t="str">
        <x:v>Hardened Scrap Knife — Payoff</x:v>
      </x:c>
      <x:c r="H327" s="34" t="n">
        <x:v>2</x:v>
      </x:c>
      <x:c r="I327" s="34" t="str">
        <x:v>attack</x:v>
      </x:c>
      <x:c r="J327" s="34" t="n">
        <x:v>6</x:v>
      </x:c>
      <x:c r="K327" s="34" t="n">
        <x:v>3</x:v>
      </x:c>
      <x:c r="L327" s="34" t="str"/>
      <x:c r="M327" s="12" t="str">
        <x:v>Marked 2</x:v>
      </x:c>
      <x:c r="N327" s="12" t="str">
        <x:v>Quick, Precise, Harvest, Payoff, WeakPoint</x:v>
      </x:c>
      <x:c r="O327" s="12" t="str">
        <x:v>Deal 6 damage and 3 break damage. If this breaks a weak point, resolve Marked 2 and the marked rider.</x:v>
      </x:c>
      <x:c r="P327" s="12" t="str">
        <x:v>Deal 6 damage and 3 break damage. If the weak point breaks, apply Marked 2 and resolve: If the quarry is Marked, draw 1 then discard 1.</x:v>
      </x:c>
      <x:c r="Q327" s="12" t="str"/>
      <x:c r="R327" s="12" t="str">
        <x:v>quirk: marked | countsAsCounter False, firstCounterFree False</x:v>
      </x:c>
      <x:c r="S327" s="12" t="str">
        <x:v>ea0946fb5d29</x:v>
      </x:c>
      <x:c r="T327" s="12" t="n">
        <x:f>COUNTIF($S$2:$S$757,S327)</x:f>
        <x:v>1</x:v>
      </x:c>
      <x:c r="U327" s="12" t="str">
        <x:f>IF(T327=1,"OK","DUPLICATE")</x:f>
        <x:v>OK</x:v>
      </x:c>
    </x:row>
    <x:row r="328" ht="39.599998474121094" hidden="0" customHeight="1">
      <x:c r="A328" s="12" t="str">
        <x:v>Heavy Skull Crown</x:v>
      </x:c>
      <x:c r="B328" s="12" t="str">
        <x:v>HEAVY SKULL HELM</x:v>
      </x:c>
      <x:c r="C328" s="12" t="str">
        <x:v>head</x:v>
      </x:c>
      <x:c r="D328" s="12" t="str">
        <x:v>armor</x:v>
      </x:c>
      <x:c r="E328" s="12" t="str">
        <x:v>early</x:v>
      </x:c>
      <x:c r="F328" s="12" t="str">
        <x:v>uncommon</x:v>
      </x:c>
      <x:c r="G328" s="12" t="str">
        <x:v>Heavy Skull Crown — Brace</x:v>
      </x:c>
      <x:c r="H328" s="34" t="n">
        <x:v>1</x:v>
      </x:c>
      <x:c r="I328" s="34" t="str">
        <x:v>skill</x:v>
      </x:c>
      <x:c r="J328" s="34" t="str"/>
      <x:c r="K328" s="34" t="str"/>
      <x:c r="L328" s="34" t="n">
        <x:v>2</x:v>
      </x:c>
      <x:c r="M328" s="12" t="str"/>
      <x:c r="N328" s="12" t="str">
        <x:v>Defensive, Party, WoundCare</x:v>
      </x:c>
      <x:c r="O328" s="12" t="str">
        <x:v>Gain 2 block and Guarded 1. If hit before your next turn, reduce Bleed or Panic by 1.</x:v>
      </x:c>
      <x:c r="P328" s="12" t="str">
        <x:v>Gain 2 block and Guarded 1. If the next monster hit lands before your next turn, reduce Bleed or Panic by 1 after damage. You may gain Panic 1 to increase the listed number by 2.</x:v>
      </x:c>
      <x:c r="Q328" s="12" t="str"/>
      <x:c r="R328" s="12" t="str">
        <x:v>quirk: panicBrake</x:v>
      </x:c>
      <x:c r="S328" s="12" t="str">
        <x:v>6d5c222fcd7d</x:v>
      </x:c>
      <x:c r="T328" s="12" t="n">
        <x:f>COUNTIF($S$2:$S$757,S328)</x:f>
        <x:v>1</x:v>
      </x:c>
      <x:c r="U328" s="12" t="str">
        <x:f>IF(T328=1,"OK","DUPLICATE")</x:f>
        <x:v>OK</x:v>
      </x:c>
    </x:row>
    <x:row r="329" ht="39.599998474121094" hidden="0" customHeight="1">
      <x:c r="A329" s="12" t="str">
        <x:v>Heavy Skull Crown</x:v>
      </x:c>
      <x:c r="B329" s="12" t="str">
        <x:v>HEAVY SKULL HELM</x:v>
      </x:c>
      <x:c r="C329" s="12" t="str">
        <x:v>head</x:v>
      </x:c>
      <x:c r="D329" s="12" t="str">
        <x:v>armor</x:v>
      </x:c>
      <x:c r="E329" s="12" t="str">
        <x:v>early</x:v>
      </x:c>
      <x:c r="F329" s="12" t="str">
        <x:v>uncommon</x:v>
      </x:c>
      <x:c r="G329" s="12" t="str">
        <x:v>Heavy Skull Crown — Fitted Plate</x:v>
      </x:c>
      <x:c r="H329" s="34" t="n">
        <x:v>1</x:v>
      </x:c>
      <x:c r="I329" s="34" t="str">
        <x:v>reaction</x:v>
      </x:c>
      <x:c r="J329" s="34" t="str"/>
      <x:c r="K329" s="34" t="str"/>
      <x:c r="L329" s="34" t="n">
        <x:v>3</x:v>
      </x:c>
      <x:c r="M329" s="12" t="str"/>
      <x:c r="N329" s="12" t="str">
        <x:v>Defensive, Party, WoundCare, Reaction</x:v>
      </x:c>
      <x:c r="O329" s="12" t="str">
        <x:v>After damage is previewed, prevent 3 damage. Then give the next ally Guarded 1.</x:v>
      </x:c>
      <x:c r="P329" s="12" t="str">
        <x:v>After incoming damage is previewed, prevent 3 damage with the head slot. Then the next ally gains Guarded 1. You may gain Panic 1 to increase the listed number by 2.</x:v>
      </x:c>
      <x:c r="Q329" s="12" t="str"/>
      <x:c r="R329" s="12" t="str">
        <x:v>quirk: panicBrake</x:v>
      </x:c>
      <x:c r="S329" s="12" t="str">
        <x:v>6653644d0618</x:v>
      </x:c>
      <x:c r="T329" s="12" t="n">
        <x:f>COUNTIF($S$2:$S$757,S329)</x:f>
        <x:v>1</x:v>
      </x:c>
      <x:c r="U329" s="12" t="str">
        <x:f>IF(T329=1,"OK","DUPLICATE")</x:f>
        <x:v>OK</x:v>
      </x:c>
    </x:row>
    <x:row r="330" ht="39.599998474121094" hidden="0" customHeight="1">
      <x:c r="A330" s="12" t="str">
        <x:v>Hollow Blade</x:v>
      </x:c>
      <x:c r="B330" s="12" t="str">
        <x:v>HOLLOW SWORD</x:v>
      </x:c>
      <x:c r="C330" s="12" t="str">
        <x:v>weapon</x:v>
      </x:c>
      <x:c r="D330" s="12" t="str">
        <x:v>sword</x:v>
      </x:c>
      <x:c r="E330" s="12" t="str">
        <x:v>early</x:v>
      </x:c>
      <x:c r="F330" s="12" t="str">
        <x:v>common</x:v>
      </x:c>
      <x:c r="G330" s="12" t="str">
        <x:v>Hollow Blade — Opening Cut</x:v>
      </x:c>
      <x:c r="H330" s="34" t="n">
        <x:v>1</x:v>
      </x:c>
      <x:c r="I330" s="34" t="str">
        <x:v>attack</x:v>
      </x:c>
      <x:c r="J330" s="34" t="n">
        <x:v>4</x:v>
      </x:c>
      <x:c r="K330" s="34" t="n">
        <x:v>2</x:v>
      </x:c>
      <x:c r="L330" s="34" t="str"/>
      <x:c r="M330" s="12" t="str">
        <x:v>Doom 2 | Target: Phoenix</x:v>
      </x:c>
      <x:c r="N330" s="12" t="str">
        <x:v>Precise, Marking, Counter, Attack</x:v>
      </x:c>
      <x:c r="O330" s="12" t="str">
        <x:v>Deal 4 damage. Apply Doom 2 if the target has a Phoenix weak point, otherwise gain Marked 1.</x:v>
      </x:c>
      <x:c r="P330" s="12" t="str">
        <x:v>Deal 4 damage with Hollow Blade. Apply Doom 2 against a matching Phoenix weak point; otherwise apply Marked 1. If you have any wound, add +1 damage but gain Panic 1.</x:v>
      </x:c>
      <x:c r="Q330" s="12" t="str"/>
      <x:c r="R330" s="12" t="str">
        <x:v>quirk: wounded</x:v>
      </x:c>
      <x:c r="S330" s="12" t="str">
        <x:v>cd942caeb2f0</x:v>
      </x:c>
      <x:c r="T330" s="12" t="n">
        <x:f>COUNTIF($S$2:$S$757,S330)</x:f>
        <x:v>1</x:v>
      </x:c>
      <x:c r="U330" s="12" t="str">
        <x:f>IF(T330=1,"OK","DUPLICATE")</x:f>
        <x:v>OK</x:v>
      </x:c>
    </x:row>
    <x:row r="331" ht="39.599998474121094" hidden="0" customHeight="1">
      <x:c r="A331" s="12" t="str">
        <x:v>Hollow Blade</x:v>
      </x:c>
      <x:c r="B331" s="12" t="str">
        <x:v>HOLLOW SWORD</x:v>
      </x:c>
      <x:c r="C331" s="12" t="str">
        <x:v>weapon</x:v>
      </x:c>
      <x:c r="D331" s="12" t="str">
        <x:v>sword</x:v>
      </x:c>
      <x:c r="E331" s="12" t="str">
        <x:v>early</x:v>
      </x:c>
      <x:c r="F331" s="12" t="str">
        <x:v>common</x:v>
      </x:c>
      <x:c r="G331" s="12" t="str">
        <x:v>Hollow Blade — Technique</x:v>
      </x:c>
      <x:c r="H331" s="34" t="n">
        <x:v>2</x:v>
      </x:c>
      <x:c r="I331" s="34" t="str">
        <x:v>skill</x:v>
      </x:c>
      <x:c r="J331" s="34" t="str"/>
      <x:c r="K331" s="34" t="str"/>
      <x:c r="L331" s="34" t="n">
        <x:v>2</x:v>
      </x:c>
      <x:c r="M331" s="12" t="str">
        <x:v>Opens: True</x:v>
      </x:c>
      <x:c r="N331" s="12" t="str">
        <x:v>Precise, Marking, Counter, Setup</x:v>
      </x:c>
      <x:c r="O331" s="12" t="str">
        <x:v>Set a parry line; your next Counter with this equipment costs 0 if it is the first Counter this battle. Also gain 2 block.</x:v>
      </x:c>
      <x:c r="P331" s="12" t="str">
        <x:v>Set a parry line; your next Counter with this equipment costs 0 if it is the first Counter this battle. Gain 2 block. If you have any wound, add +1 damage but gain Panic 1.</x:v>
      </x:c>
      <x:c r="Q331" s="12" t="str">
        <x:v>YES</x:v>
      </x:c>
      <x:c r="R331" s="12" t="str">
        <x:v>quirk: wounded</x:v>
      </x:c>
      <x:c r="S331" s="12" t="str">
        <x:v>2e44e49336af</x:v>
      </x:c>
      <x:c r="T331" s="12" t="n">
        <x:f>COUNTIF($S$2:$S$757,S331)</x:f>
        <x:v>1</x:v>
      </x:c>
      <x:c r="U331" s="12" t="str">
        <x:f>IF(T331=1,"OK","DUPLICATE")</x:f>
        <x:v>OK</x:v>
      </x:c>
    </x:row>
    <x:row r="332" ht="26.399999618530273" hidden="0" customHeight="1">
      <x:c r="A332" s="12" t="str">
        <x:v>Hollow Blade</x:v>
      </x:c>
      <x:c r="B332" s="12" t="str">
        <x:v>HOLLOW SWORD</x:v>
      </x:c>
      <x:c r="C332" s="12" t="str">
        <x:v>weapon</x:v>
      </x:c>
      <x:c r="D332" s="12" t="str">
        <x:v>sword</x:v>
      </x:c>
      <x:c r="E332" s="12" t="str">
        <x:v>early</x:v>
      </x:c>
      <x:c r="F332" s="12" t="str">
        <x:v>common</x:v>
      </x:c>
      <x:c r="G332" s="12" t="str">
        <x:v>Hollow Blade — Payoff</x:v>
      </x:c>
      <x:c r="H332" s="34" t="n">
        <x:v>2</x:v>
      </x:c>
      <x:c r="I332" s="34" t="str">
        <x:v>reaction</x:v>
      </x:c>
      <x:c r="J332" s="34" t="n">
        <x:v>6</x:v>
      </x:c>
      <x:c r="K332" s="34" t="n">
        <x:v>3</x:v>
      </x:c>
      <x:c r="L332" s="34" t="str"/>
      <x:c r="M332" s="12" t="str">
        <x:v>Doom 1</x:v>
      </x:c>
      <x:c r="N332" s="12" t="str">
        <x:v>Precise, Marking, Counter, Payoff, WeakPoint</x:v>
      </x:c>
      <x:c r="O332" s="12" t="str">
        <x:v>Deal 6 damage and 3 break damage. If this breaks a weak point, resolve Doom 1 and the wounded rider.</x:v>
      </x:c>
      <x:c r="P332" s="12" t="str">
        <x:v>Deal 6 damage and 3 break damage. If the weak point breaks, apply Doom 1 and resolve: If you have any wound, add +1 damage but gain Panic 1.</x:v>
      </x:c>
      <x:c r="Q332" s="12" t="str">
        <x:v>YES</x:v>
      </x:c>
      <x:c r="R332" s="12" t="str">
        <x:v>quirk: wounded | countsAsCounter True, firstCounterFree True</x:v>
      </x:c>
      <x:c r="S332" s="12" t="str">
        <x:v>ecf6e87cc6ab</x:v>
      </x:c>
      <x:c r="T332" s="12" t="n">
        <x:f>COUNTIF($S$2:$S$757,S332)</x:f>
        <x:v>1</x:v>
      </x:c>
      <x:c r="U332" s="12" t="str">
        <x:f>IF(T332=1,"OK","DUPLICATE")</x:f>
        <x:v>OK</x:v>
      </x:c>
    </x:row>
    <x:row r="333" ht="39.599998474121094" hidden="0" customHeight="1">
      <x:c r="A333" s="12" t="str">
        <x:v>Hollow Blade (Broken)</x:v>
      </x:c>
      <x:c r="B333" s="12" t="str">
        <x:v>HOLLOW SWORD (BROKEN)</x:v>
      </x:c>
      <x:c r="C333" s="12" t="str">
        <x:v>weapon</x:v>
      </x:c>
      <x:c r="D333" s="12" t="str">
        <x:v>sword</x:v>
      </x:c>
      <x:c r="E333" s="12" t="str">
        <x:v>early</x:v>
      </x:c>
      <x:c r="F333" s="12" t="str">
        <x:v>common</x:v>
      </x:c>
      <x:c r="G333" s="12" t="str">
        <x:v>Hollow Blade (Broken) — Opening Cut</x:v>
      </x:c>
      <x:c r="H333" s="34" t="n">
        <x:v>2</x:v>
      </x:c>
      <x:c r="I333" s="34" t="str">
        <x:v>attack</x:v>
      </x:c>
      <x:c r="J333" s="34" t="n">
        <x:v>2</x:v>
      </x:c>
      <x:c r="K333" s="34" t="n">
        <x:v>2</x:v>
      </x:c>
      <x:c r="L333" s="34" t="str"/>
      <x:c r="M333" s="12" t="str">
        <x:v>Doom 3 | Target: Phoenix</x:v>
      </x:c>
      <x:c r="N333" s="12" t="str">
        <x:v>Precise, Marking, Counter, Attack</x:v>
      </x:c>
      <x:c r="O333" s="12" t="str">
        <x:v>Deal 2 damage. Apply Doom 3 if the target has a Phoenix weak point, otherwise gain Marked 1.</x:v>
      </x:c>
      <x:c r="P333" s="12" t="str">
        <x:v>Deal 2 damage with Hollow Blade (Broken). Apply Doom 3 against a matching Phoenix weak point; otherwise apply Marked 1. If this breaks a weak point, improve harvest quality by one step unless it is already Clean.</x:v>
      </x:c>
      <x:c r="Q333" s="12" t="str"/>
      <x:c r="R333" s="12" t="str">
        <x:v>quirk: harvest</x:v>
      </x:c>
      <x:c r="S333" s="12" t="str">
        <x:v>f16dd02ec276</x:v>
      </x:c>
      <x:c r="T333" s="12" t="n">
        <x:f>COUNTIF($S$2:$S$757,S333)</x:f>
        <x:v>1</x:v>
      </x:c>
      <x:c r="U333" s="12" t="str">
        <x:f>IF(T333=1,"OK","DUPLICATE")</x:f>
        <x:v>OK</x:v>
      </x:c>
    </x:row>
    <x:row r="334" ht="39.599998474121094" hidden="0" customHeight="1">
      <x:c r="A334" s="12" t="str">
        <x:v>Hollow Blade (Broken)</x:v>
      </x:c>
      <x:c r="B334" s="12" t="str">
        <x:v>HOLLOW SWORD (BROKEN)</x:v>
      </x:c>
      <x:c r="C334" s="12" t="str">
        <x:v>weapon</x:v>
      </x:c>
      <x:c r="D334" s="12" t="str">
        <x:v>sword</x:v>
      </x:c>
      <x:c r="E334" s="12" t="str">
        <x:v>early</x:v>
      </x:c>
      <x:c r="F334" s="12" t="str">
        <x:v>common</x:v>
      </x:c>
      <x:c r="G334" s="12" t="str">
        <x:v>Hollow Blade (Broken) — Technique</x:v>
      </x:c>
      <x:c r="H334" s="34" t="n">
        <x:v>1</x:v>
      </x:c>
      <x:c r="I334" s="34" t="str">
        <x:v>skill</x:v>
      </x:c>
      <x:c r="J334" s="34" t="str"/>
      <x:c r="K334" s="34" t="str"/>
      <x:c r="L334" s="34" t="n">
        <x:v>3</x:v>
      </x:c>
      <x:c r="M334" s="12" t="str">
        <x:v>Opens: True</x:v>
      </x:c>
      <x:c r="N334" s="12" t="str">
        <x:v>Precise, Marking, Counter, Setup</x:v>
      </x:c>
      <x:c r="O334" s="12" t="str">
        <x:v>Set a parry line; your next Counter with this equipment costs 0 if it is the first Counter this battle. Also gain 3 block.</x:v>
      </x:c>
      <x:c r="P334" s="12" t="str">
        <x:v>Set a parry line; your next Counter with this equipment costs 0 if it is the first Counter this battle. Gain 3 block. If this breaks a weak point, improve harvest quality by one step unless it is already Clean.</x:v>
      </x:c>
      <x:c r="Q334" s="12" t="str">
        <x:v>YES</x:v>
      </x:c>
      <x:c r="R334" s="12" t="str">
        <x:v>quirk: harvest</x:v>
      </x:c>
      <x:c r="S334" s="12" t="str">
        <x:v>4ce6e90595e4</x:v>
      </x:c>
      <x:c r="T334" s="12" t="n">
        <x:f>COUNTIF($S$2:$S$757,S334)</x:f>
        <x:v>1</x:v>
      </x:c>
      <x:c r="U334" s="12" t="str">
        <x:f>IF(T334=1,"OK","DUPLICATE")</x:f>
        <x:v>OK</x:v>
      </x:c>
    </x:row>
    <x:row r="335" ht="39.599998474121094" hidden="0" customHeight="1">
      <x:c r="A335" s="12" t="str">
        <x:v>Hollow Blade (Broken)</x:v>
      </x:c>
      <x:c r="B335" s="12" t="str">
        <x:v>HOLLOW SWORD (BROKEN)</x:v>
      </x:c>
      <x:c r="C335" s="12" t="str">
        <x:v>weapon</x:v>
      </x:c>
      <x:c r="D335" s="12" t="str">
        <x:v>sword</x:v>
      </x:c>
      <x:c r="E335" s="12" t="str">
        <x:v>early</x:v>
      </x:c>
      <x:c r="F335" s="12" t="str">
        <x:v>common</x:v>
      </x:c>
      <x:c r="G335" s="12" t="str">
        <x:v>Hollow Blade (Broken) — Payoff</x:v>
      </x:c>
      <x:c r="H335" s="34" t="n">
        <x:v>3</x:v>
      </x:c>
      <x:c r="I335" s="34" t="str">
        <x:v>reaction</x:v>
      </x:c>
      <x:c r="J335" s="34" t="n">
        <x:v>6</x:v>
      </x:c>
      <x:c r="K335" s="34" t="n">
        <x:v>3</x:v>
      </x:c>
      <x:c r="L335" s="34" t="str"/>
      <x:c r="M335" s="12" t="str">
        <x:v>Doom 2</x:v>
      </x:c>
      <x:c r="N335" s="12" t="str">
        <x:v>Precise, Marking, Counter, Payoff, WeakPoint</x:v>
      </x:c>
      <x:c r="O335" s="12" t="str">
        <x:v>Deal 6 damage and 3 break damage. If this breaks a weak point, resolve Doom 2 and the harvest rider.</x:v>
      </x:c>
      <x:c r="P335" s="12" t="str">
        <x:v>Deal 6 damage and 3 break damage. If the weak point breaks, apply Doom 2 and resolve: If this breaks a weak point, improve harvest quality by one step unless it is already Clean.</x:v>
      </x:c>
      <x:c r="Q335" s="12" t="str">
        <x:v>YES</x:v>
      </x:c>
      <x:c r="R335" s="12" t="str">
        <x:v>quirk: harvest | countsAsCounter True, firstCounterFree True</x:v>
      </x:c>
      <x:c r="S335" s="12" t="str">
        <x:v>8d8a7d26f868</x:v>
      </x:c>
      <x:c r="T335" s="12" t="n">
        <x:f>COUNTIF($S$2:$S$757,S335)</x:f>
        <x:v>1</x:v>
      </x:c>
      <x:c r="U335" s="12" t="str">
        <x:f>IF(T335=1,"OK","DUPLICATE")</x:f>
        <x:v>OK</x:v>
      </x:c>
    </x:row>
    <x:row r="336" ht="39.599998474121094" hidden="0" customHeight="1">
      <x:c r="A336" s="12" t="str">
        <x:v>Hollowpoint Arrow</x:v>
      </x:c>
      <x:c r="B336" s="12" t="str">
        <x:v>HOLLOWPOINT ARROW</x:v>
      </x:c>
      <x:c r="C336" s="12" t="str">
        <x:v>weapon</x:v>
      </x:c>
      <x:c r="D336" s="12" t="str">
        <x:v>bow</x:v>
      </x:c>
      <x:c r="E336" s="12" t="str">
        <x:v>early</x:v>
      </x:c>
      <x:c r="F336" s="12" t="str">
        <x:v>common</x:v>
      </x:c>
      <x:c r="G336" s="12" t="str">
        <x:v>Hollowpoint Arrow — Opening Strike</x:v>
      </x:c>
      <x:c r="H336" s="34" t="n">
        <x:v>1</x:v>
      </x:c>
      <x:c r="I336" s="34" t="str">
        <x:v>attack</x:v>
      </x:c>
      <x:c r="J336" s="34" t="n">
        <x:v>3</x:v>
      </x:c>
      <x:c r="K336" s="34" t="n">
        <x:v>1</x:v>
      </x:c>
      <x:c r="L336" s="34" t="str"/>
      <x:c r="M336" s="12" t="str">
        <x:v>Doom 1 | Target: Phoenix</x:v>
      </x:c>
      <x:c r="N336" s="12" t="str">
        <x:v>Ranged, Marking, Precise, Attack</x:v>
      </x:c>
      <x:c r="O336" s="12" t="str">
        <x:v>Deal 3 damage. Apply Doom 1 if the target has a Phoenix weak point, otherwise gain Marked 1.</x:v>
      </x:c>
      <x:c r="P336" s="12" t="str">
        <x:v>Deal 3 damage with Hollowpoint Arrow. Apply Doom 1 against a matching Phoenix weak point; otherwise apply Marked 1. You may gain Panic 1 to increase the listed number by 2.</x:v>
      </x:c>
      <x:c r="Q336" s="12" t="str"/>
      <x:c r="R336" s="12" t="str">
        <x:v>quirk: panicBrake</x:v>
      </x:c>
      <x:c r="S336" s="12" t="str">
        <x:v>6dd279a5b187</x:v>
      </x:c>
      <x:c r="T336" s="12" t="n">
        <x:f>COUNTIF($S$2:$S$757,S336)</x:f>
        <x:v>1</x:v>
      </x:c>
      <x:c r="U336" s="12" t="str">
        <x:f>IF(T336=1,"OK","DUPLICATE")</x:f>
        <x:v>OK</x:v>
      </x:c>
    </x:row>
    <x:row r="337" ht="26.399999618530273" hidden="0" customHeight="1">
      <x:c r="A337" s="12" t="str">
        <x:v>Hollowpoint Arrow</x:v>
      </x:c>
      <x:c r="B337" s="12" t="str">
        <x:v>HOLLOWPOINT ARROW</x:v>
      </x:c>
      <x:c r="C337" s="12" t="str">
        <x:v>weapon</x:v>
      </x:c>
      <x:c r="D337" s="12" t="str">
        <x:v>bow</x:v>
      </x:c>
      <x:c r="E337" s="12" t="str">
        <x:v>early</x:v>
      </x:c>
      <x:c r="F337" s="12" t="str">
        <x:v>common</x:v>
      </x:c>
      <x:c r="G337" s="12" t="str">
        <x:v>Hollowpoint Arrow — Technique</x:v>
      </x:c>
      <x:c r="H337" s="34" t="n">
        <x:v>2</x:v>
      </x:c>
      <x:c r="I337" s="34" t="str">
        <x:v>skill</x:v>
      </x:c>
      <x:c r="J337" s="34" t="str"/>
      <x:c r="K337" s="34" t="str"/>
      <x:c r="L337" s="34" t="n">
        <x:v>1</x:v>
      </x:c>
      <x:c r="M337" s="12" t="str">
        <x:v>Opens: True</x:v>
      </x:c>
      <x:c r="N337" s="12" t="str">
        <x:v>Ranged, Marking, Precise, Setup</x:v>
      </x:c>
      <x:c r="O337" s="12" t="str">
        <x:v>Mark a wing, eye or distant weak point; ranged attacks ignore Guarded 1. Also gain 1 block.</x:v>
      </x:c>
      <x:c r="P337" s="12" t="str">
        <x:v>Mark a wing, eye or distant weak point; ranged attacks ignore Guarded 1. Gain 1 block. You may gain Panic 1 to increase the listed number by 2.</x:v>
      </x:c>
      <x:c r="Q337" s="12" t="str"/>
      <x:c r="R337" s="12" t="str">
        <x:v>quirk: panicBrake</x:v>
      </x:c>
      <x:c r="S337" s="12" t="str">
        <x:v>cb6e52ab06f7</x:v>
      </x:c>
      <x:c r="T337" s="12" t="n">
        <x:f>COUNTIF($S$2:$S$757,S337)</x:f>
        <x:v>1</x:v>
      </x:c>
      <x:c r="U337" s="12" t="str">
        <x:f>IF(T337=1,"OK","DUPLICATE")</x:f>
        <x:v>OK</x:v>
      </x:c>
    </x:row>
    <x:row r="338" ht="26.399999618530273" hidden="0" customHeight="1">
      <x:c r="A338" s="12" t="str">
        <x:v>Hollowpoint Arrow</x:v>
      </x:c>
      <x:c r="B338" s="12" t="str">
        <x:v>HOLLOWPOINT ARROW</x:v>
      </x:c>
      <x:c r="C338" s="12" t="str">
        <x:v>weapon</x:v>
      </x:c>
      <x:c r="D338" s="12" t="str">
        <x:v>bow</x:v>
      </x:c>
      <x:c r="E338" s="12" t="str">
        <x:v>early</x:v>
      </x:c>
      <x:c r="F338" s="12" t="str">
        <x:v>common</x:v>
      </x:c>
      <x:c r="G338" s="12" t="str">
        <x:v>Hollowpoint Arrow — Payoff</x:v>
      </x:c>
      <x:c r="H338" s="34" t="n">
        <x:v>2</x:v>
      </x:c>
      <x:c r="I338" s="34" t="str">
        <x:v>attack</x:v>
      </x:c>
      <x:c r="J338" s="34" t="n">
        <x:v>7</x:v>
      </x:c>
      <x:c r="K338" s="34" t="n">
        <x:v>2</x:v>
      </x:c>
      <x:c r="L338" s="34" t="str"/>
      <x:c r="M338" s="12" t="str">
        <x:v>Doom 1</x:v>
      </x:c>
      <x:c r="N338" s="12" t="str">
        <x:v>Ranged, Marking, Precise, Payoff, WeakPoint</x:v>
      </x:c>
      <x:c r="O338" s="12" t="str">
        <x:v>Deal 7 damage and 2 break damage. If this breaks a weak point, resolve Doom 1 and the panicBrake rider.</x:v>
      </x:c>
      <x:c r="P338" s="12" t="str">
        <x:v>Deal 7 damage and 2 break damage. If the weak point breaks, apply Doom 1 and resolve: You may gain Panic 1 to increase the listed number by 2.</x:v>
      </x:c>
      <x:c r="Q338" s="12" t="str"/>
      <x:c r="R338" s="12" t="str">
        <x:v>quirk: panicBrake | countsAsCounter False, firstCounterFree False</x:v>
      </x:c>
      <x:c r="S338" s="12" t="str">
        <x:v>a4c2c0cfe69d</x:v>
      </x:c>
      <x:c r="T338" s="12" t="n">
        <x:f>COUNTIF($S$2:$S$757,S338)</x:f>
        <x:v>1</x:v>
      </x:c>
      <x:c r="U338" s="12" t="str">
        <x:f>IF(T338=1,"OK","DUPLICATE")</x:f>
        <x:v>OK</x:v>
      </x:c>
    </x:row>
    <x:row r="339" ht="39.599998474121094" hidden="0" customHeight="1">
      <x:c r="A339" s="12" t="str">
        <x:v>Hooded Scrap Katar</x:v>
      </x:c>
      <x:c r="B339" s="12" t="str">
        <x:v>HOODED SCRAP KATAR</x:v>
      </x:c>
      <x:c r="C339" s="12" t="str">
        <x:v>weapon</x:v>
      </x:c>
      <x:c r="D339" s="12" t="str">
        <x:v>katar</x:v>
      </x:c>
      <x:c r="E339" s="12" t="str">
        <x:v>mid</x:v>
      </x:c>
      <x:c r="F339" s="12" t="str">
        <x:v>uncommon</x:v>
      </x:c>
      <x:c r="G339" s="12" t="str">
        <x:v>Hooded Scrap Katar — Opening Cut</x:v>
      </x:c>
      <x:c r="H339" s="34" t="n">
        <x:v>0</x:v>
      </x:c>
      <x:c r="I339" s="34" t="str">
        <x:v>attack</x:v>
      </x:c>
      <x:c r="J339" s="34" t="n">
        <x:v>4</x:v>
      </x:c>
      <x:c r="K339" s="34" t="n">
        <x:v>1</x:v>
      </x:c>
      <x:c r="L339" s="34" t="str"/>
      <x:c r="M339" s="12" t="str">
        <x:v>Bleed 2 | Target: Spidicules</x:v>
      </x:c>
      <x:c r="N339" s="12" t="str">
        <x:v>Quick, Predator, Precise, Attack</x:v>
      </x:c>
      <x:c r="O339" s="12" t="str">
        <x:v>Deal 4 damage. Apply Bleed 2 if the target has a Spidicules weak point, otherwise gain Marked 1.</x:v>
      </x:c>
      <x:c r="P339" s="12" t="str">
        <x:v>Deal 4 damage with Hooded Scrap Katar. Apply Bleed 2 against a matching Spidicules weak point; otherwise apply Marked 1. Chosen ally gains Guarded 1 after this resolves.</x:v>
      </x:c>
      <x:c r="Q339" s="12" t="str"/>
      <x:c r="R339" s="12" t="str">
        <x:v>quirk: ally</x:v>
      </x:c>
      <x:c r="S339" s="12" t="str">
        <x:v>40589dd7b0e9</x:v>
      </x:c>
      <x:c r="T339" s="12" t="n">
        <x:f>COUNTIF($S$2:$S$757,S339)</x:f>
        <x:v>1</x:v>
      </x:c>
      <x:c r="U339" s="12" t="str">
        <x:f>IF(T339=1,"OK","DUPLICATE")</x:f>
        <x:v>OK</x:v>
      </x:c>
    </x:row>
    <x:row r="340" ht="26.399999618530273" hidden="0" customHeight="1">
      <x:c r="A340" s="12" t="str">
        <x:v>Hooded Scrap Katar</x:v>
      </x:c>
      <x:c r="B340" s="12" t="str">
        <x:v>HOODED SCRAP KATAR</x:v>
      </x:c>
      <x:c r="C340" s="12" t="str">
        <x:v>weapon</x:v>
      </x:c>
      <x:c r="D340" s="12" t="str">
        <x:v>katar</x:v>
      </x:c>
      <x:c r="E340" s="12" t="str">
        <x:v>mid</x:v>
      </x:c>
      <x:c r="F340" s="12" t="str">
        <x:v>uncommon</x:v>
      </x:c>
      <x:c r="G340" s="12" t="str">
        <x:v>Hooded Scrap Katar — Technique</x:v>
      </x:c>
      <x:c r="H340" s="34" t="n">
        <x:v>1</x:v>
      </x:c>
      <x:c r="I340" s="34" t="str">
        <x:v>skill</x:v>
      </x:c>
      <x:c r="J340" s="34" t="str"/>
      <x:c r="K340" s="34" t="str"/>
      <x:c r="L340" s="34" t="n">
        <x:v>3</x:v>
      </x:c>
      <x:c r="M340" s="12" t="str">
        <x:v>Opens: True</x:v>
      </x:c>
      <x:c r="N340" s="12" t="str">
        <x:v>Quick, Predator, Precise, Setup</x:v>
      </x:c>
      <x:c r="O340" s="12" t="str">
        <x:v>Prepare a crossing slash; if the quarry has Bleed, add +2 damage. Also gain 3 block.</x:v>
      </x:c>
      <x:c r="P340" s="12" t="str">
        <x:v>Prepare a crossing slash; if the quarry has Bleed, add +2 damage. Gain 3 block. Chosen ally gains Guarded 1 after this resolves.</x:v>
      </x:c>
      <x:c r="Q340" s="12" t="str"/>
      <x:c r="R340" s="12" t="str">
        <x:v>quirk: ally</x:v>
      </x:c>
      <x:c r="S340" s="12" t="str">
        <x:v>16f18c69c274</x:v>
      </x:c>
      <x:c r="T340" s="12" t="n">
        <x:f>COUNTIF($S$2:$S$757,S340)</x:f>
        <x:v>1</x:v>
      </x:c>
      <x:c r="U340" s="12" t="str">
        <x:f>IF(T340=1,"OK","DUPLICATE")</x:f>
        <x:v>OK</x:v>
      </x:c>
    </x:row>
    <x:row r="341" ht="26.399999618530273" hidden="0" customHeight="1">
      <x:c r="A341" s="12" t="str">
        <x:v>Hooded Scrap Katar</x:v>
      </x:c>
      <x:c r="B341" s="12" t="str">
        <x:v>HOODED SCRAP KATAR</x:v>
      </x:c>
      <x:c r="C341" s="12" t="str">
        <x:v>weapon</x:v>
      </x:c>
      <x:c r="D341" s="12" t="str">
        <x:v>katar</x:v>
      </x:c>
      <x:c r="E341" s="12" t="str">
        <x:v>mid</x:v>
      </x:c>
      <x:c r="F341" s="12" t="str">
        <x:v>uncommon</x:v>
      </x:c>
      <x:c r="G341" s="12" t="str">
        <x:v>Hooded Scrap Katar — Payoff</x:v>
      </x:c>
      <x:c r="H341" s="34" t="n">
        <x:v>2</x:v>
      </x:c>
      <x:c r="I341" s="34" t="str">
        <x:v>attack</x:v>
      </x:c>
      <x:c r="J341" s="34" t="n">
        <x:v>5</x:v>
      </x:c>
      <x:c r="K341" s="34" t="n">
        <x:v>2</x:v>
      </x:c>
      <x:c r="L341" s="34" t="str"/>
      <x:c r="M341" s="12" t="str">
        <x:v>Bleed 1</x:v>
      </x:c>
      <x:c r="N341" s="12" t="str">
        <x:v>Quick, Predator, Precise, Payoff, WeakPoint</x:v>
      </x:c>
      <x:c r="O341" s="12" t="str">
        <x:v>Deal 5 damage and 2 break damage. If this breaks a weak point, resolve Bleed 1 and the ally rider.</x:v>
      </x:c>
      <x:c r="P341" s="12" t="str">
        <x:v>Deal 5 damage and 2 break damage. If the weak point breaks, apply Bleed 1 and resolve: Chosen ally gains Guarded 1 after this resolves.</x:v>
      </x:c>
      <x:c r="Q341" s="12" t="str"/>
      <x:c r="R341" s="12" t="str">
        <x:v>quirk: ally | countsAsCounter False, firstCounterFree False</x:v>
      </x:c>
      <x:c r="S341" s="12" t="str">
        <x:v>49d7e1c6f912</x:v>
      </x:c>
      <x:c r="T341" s="12" t="n">
        <x:f>COUNTIF($S$2:$S$757,S341)</x:f>
        <x:v>1</x:v>
      </x:c>
      <x:c r="U341" s="12" t="str">
        <x:f>IF(T341=1,"OK","DUPLICATE")</x:f>
        <x:v>OK</x:v>
      </x:c>
    </x:row>
    <x:row r="342" ht="39.599998474121094" hidden="0" customHeight="1">
      <x:c r="A342" s="12" t="str">
        <x:v>Hooked Claw Knife</x:v>
      </x:c>
      <x:c r="B342" s="12" t="str">
        <x:v>HOOKED CLAW KNIFE</x:v>
      </x:c>
      <x:c r="C342" s="12" t="str">
        <x:v>weapon</x:v>
      </x:c>
      <x:c r="D342" s="12" t="str">
        <x:v>dagger</x:v>
      </x:c>
      <x:c r="E342" s="12" t="str">
        <x:v>early</x:v>
      </x:c>
      <x:c r="F342" s="12" t="str">
        <x:v>uncommon</x:v>
      </x:c>
      <x:c r="G342" s="12" t="str">
        <x:v>Hooked Claw Knife — Opening Cut</x:v>
      </x:c>
      <x:c r="H342" s="34" t="n">
        <x:v>0</x:v>
      </x:c>
      <x:c r="I342" s="34" t="str">
        <x:v>attack</x:v>
      </x:c>
      <x:c r="J342" s="34" t="n">
        <x:v>3</x:v>
      </x:c>
      <x:c r="K342" s="34" t="n">
        <x:v>2</x:v>
      </x:c>
      <x:c r="L342" s="34" t="str"/>
      <x:c r="M342" s="12" t="str">
        <x:v>Bleed 3 | Target: White Lion</x:v>
      </x:c>
      <x:c r="N342" s="12" t="str">
        <x:v>Quick, Precise, Harvest, Attack</x:v>
      </x:c>
      <x:c r="O342" s="12" t="str">
        <x:v>Deal 3 damage. Apply Bleed 3 if the target has a White Lion weak point, otherwise gain Marked 1.</x:v>
      </x:c>
      <x:c r="P342" s="12" t="str">
        <x:v>Deal 3 damage with Hooked Claw Knife. Apply Bleed 3 against a matching White Lion weak point; otherwise apply Marked 1. If used on a hunt node, also mark one gathered resource as confirmed.</x:v>
      </x:c>
      <x:c r="Q342" s="12" t="str"/>
      <x:c r="R342" s="12" t="str">
        <x:v>quirk: retreat</x:v>
      </x:c>
      <x:c r="S342" s="12" t="str">
        <x:v>78b1a92acb9f</x:v>
      </x:c>
      <x:c r="T342" s="12" t="n">
        <x:f>COUNTIF($S$2:$S$757,S342)</x:f>
        <x:v>1</x:v>
      </x:c>
      <x:c r="U342" s="12" t="str">
        <x:f>IF(T342=1,"OK","DUPLICATE")</x:f>
        <x:v>OK</x:v>
      </x:c>
    </x:row>
    <x:row r="343" ht="26.399999618530273" hidden="0" customHeight="1">
      <x:c r="A343" s="12" t="str">
        <x:v>Hooked Claw Knife</x:v>
      </x:c>
      <x:c r="B343" s="12" t="str">
        <x:v>HOOKED CLAW KNIFE</x:v>
      </x:c>
      <x:c r="C343" s="12" t="str">
        <x:v>weapon</x:v>
      </x:c>
      <x:c r="D343" s="12" t="str">
        <x:v>dagger</x:v>
      </x:c>
      <x:c r="E343" s="12" t="str">
        <x:v>early</x:v>
      </x:c>
      <x:c r="F343" s="12" t="str">
        <x:v>uncommon</x:v>
      </x:c>
      <x:c r="G343" s="12" t="str">
        <x:v>Hooked Claw Knife — Technique</x:v>
      </x:c>
      <x:c r="H343" s="34" t="n">
        <x:v>2</x:v>
      </x:c>
      <x:c r="I343" s="34" t="str">
        <x:v>skill</x:v>
      </x:c>
      <x:c r="J343" s="34" t="str"/>
      <x:c r="K343" s="34" t="str"/>
      <x:c r="L343" s="34" t="n">
        <x:v>4</x:v>
      </x:c>
      <x:c r="M343" s="12" t="str">
        <x:v>Opens: True</x:v>
      </x:c>
      <x:c r="N343" s="12" t="str">
        <x:v>Quick, Precise, Harvest, Setup</x:v>
      </x:c>
      <x:c r="O343" s="12" t="str">
        <x:v>Expose a fragile weak point; next knife attack gains +2 break damage. Also gain 4 block.</x:v>
      </x:c>
      <x:c r="P343" s="12" t="str">
        <x:v>Expose a fragile weak point; next knife attack gains +2 break damage. gain 4 block. If used on a hunt node, also mark one gathered resource as confirmed.</x:v>
      </x:c>
      <x:c r="Q343" s="12" t="str"/>
      <x:c r="R343" s="12" t="str">
        <x:v>quirk: retreat</x:v>
      </x:c>
      <x:c r="S343" s="12" t="str">
        <x:v>c864744c65b2</x:v>
      </x:c>
      <x:c r="T343" s="12" t="n">
        <x:f>COUNTIF($S$2:$S$757,S343)</x:f>
        <x:v>1</x:v>
      </x:c>
      <x:c r="U343" s="12" t="str">
        <x:f>IF(T343=1,"OK","DUPLICATE")</x:f>
        <x:v>OK</x:v>
      </x:c>
    </x:row>
    <x:row r="344" ht="26.399999618530273" hidden="0" customHeight="1">
      <x:c r="A344" s="12" t="str">
        <x:v>Hooked Claw Knife</x:v>
      </x:c>
      <x:c r="B344" s="12" t="str">
        <x:v>HOOKED CLAW KNIFE</x:v>
      </x:c>
      <x:c r="C344" s="12" t="str">
        <x:v>weapon</x:v>
      </x:c>
      <x:c r="D344" s="12" t="str">
        <x:v>dagger</x:v>
      </x:c>
      <x:c r="E344" s="12" t="str">
        <x:v>early</x:v>
      </x:c>
      <x:c r="F344" s="12" t="str">
        <x:v>uncommon</x:v>
      </x:c>
      <x:c r="G344" s="12" t="str">
        <x:v>Hooked Claw Knife — Payoff</x:v>
      </x:c>
      <x:c r="H344" s="34" t="n">
        <x:v>2</x:v>
      </x:c>
      <x:c r="I344" s="34" t="str">
        <x:v>attack</x:v>
      </x:c>
      <x:c r="J344" s="34" t="n">
        <x:v>4</x:v>
      </x:c>
      <x:c r="K344" s="34" t="n">
        <x:v>3</x:v>
      </x:c>
      <x:c r="L344" s="34" t="str"/>
      <x:c r="M344" s="12" t="str">
        <x:v>Bleed 2</x:v>
      </x:c>
      <x:c r="N344" s="12" t="str">
        <x:v>Quick, Precise, Harvest, Payoff, WeakPoint</x:v>
      </x:c>
      <x:c r="O344" s="12" t="str">
        <x:v>Deal 4 damage and 3 break damage. If this breaks a weak point, resolve Bleed 2 and the retreat rider.</x:v>
      </x:c>
      <x:c r="P344" s="12" t="str">
        <x:v>Deal 4 damage and 3 break damage. If the weak point breaks, apply Bleed 2 and resolve: If used on a hunt node, also mark one gathered resource as confirmed.</x:v>
      </x:c>
      <x:c r="Q344" s="12" t="str"/>
      <x:c r="R344" s="12" t="str">
        <x:v>quirk: retreat | countsAsCounter False, firstCounterFree False</x:v>
      </x:c>
      <x:c r="S344" s="12" t="str">
        <x:v>a7487fe22290</x:v>
      </x:c>
      <x:c r="T344" s="12" t="n">
        <x:f>COUNTIF($S$2:$S$757,S344)</x:f>
        <x:v>1</x:v>
      </x:c>
      <x:c r="U344" s="12" t="str">
        <x:f>IF(T344=1,"OK","DUPLICATE")</x:f>
        <x:v>OK</x:v>
      </x:c>
    </x:row>
    <x:row r="345" ht="52.79999923706055" hidden="0" customHeight="1">
      <x:c r="A345" s="12" t="str">
        <x:v>Hours Ring</x:v>
      </x:c>
      <x:c r="B345" s="12" t="str">
        <x:v>HOURS RING</x:v>
      </x:c>
      <x:c r="C345" s="12" t="str">
        <x:v>charm</x:v>
      </x:c>
      <x:c r="D345" s="12" t="str">
        <x:v>charm</x:v>
      </x:c>
      <x:c r="E345" s="12" t="str">
        <x:v>early</x:v>
      </x:c>
      <x:c r="F345" s="12" t="str">
        <x:v>common</x:v>
      </x:c>
      <x:c r="G345" s="12" t="str">
        <x:v>Hours Ring — Omen</x:v>
      </x:c>
      <x:c r="H345" s="34" t="n">
        <x:v>0</x:v>
      </x:c>
      <x:c r="I345" s="34" t="str">
        <x:v>skill</x:v>
      </x:c>
      <x:c r="J345" s="34" t="str"/>
      <x:c r="K345" s="34" t="str"/>
      <x:c r="L345" s="34" t="str"/>
      <x:c r="M345" s="12" t="str"/>
      <x:c r="N345" s="12" t="str">
        <x:v>Charm, Passive, Survival</x:v>
      </x:c>
      <x:c r="O345" s="12" t="str">
        <x:v>Peek at the next quarry card or weak-point reward. You may mark it; if you do, gain Panic 1; If this would drop you to 0 HP, resolve this card first, then die if still at 0 HP.</x:v>
      </x:c>
      <x:c r="P345" s="12" t="str">
        <x:v>Peek at the next quarry AI, hit-location or weak-point reward, depending on screen. You may mark it. If marked, gain Panic 1. If you deal no HP damage, gain +2 break damage. If this would drop you to 0 HP, resolve this card first, then die if still at 0 HP.</x:v>
      </x:c>
      <x:c r="Q345" s="12" t="str"/>
      <x:c r="R345" s="12" t="str">
        <x:v>quirk: careful+lastLight | uniqueRider:lastLight</x:v>
      </x:c>
      <x:c r="S345" s="12" t="str">
        <x:v>c86e1c3bedcd</x:v>
      </x:c>
      <x:c r="T345" s="12" t="n">
        <x:f>COUNTIF($S$2:$S$757,S345)</x:f>
        <x:v>1</x:v>
      </x:c>
      <x:c r="U345" s="12" t="str">
        <x:f>IF(T345=1,"OK","DUPLICATE")</x:f>
        <x:v>OK</x:v>
      </x:c>
    </x:row>
    <x:row r="346" ht="39.599998474121094" hidden="0" customHeight="1">
      <x:c r="A346" s="12" t="str">
        <x:v>Hours Ring</x:v>
      </x:c>
      <x:c r="B346" s="12" t="str">
        <x:v>HOURS RING</x:v>
      </x:c>
      <x:c r="C346" s="12" t="str">
        <x:v>charm</x:v>
      </x:c>
      <x:c r="D346" s="12" t="str">
        <x:v>charm</x:v>
      </x:c>
      <x:c r="E346" s="12" t="str">
        <x:v>early</x:v>
      </x:c>
      <x:c r="F346" s="12" t="str">
        <x:v>common</x:v>
      </x:c>
      <x:c r="G346" s="12" t="str">
        <x:v>Hours Ring — Glimmer</x:v>
      </x:c>
      <x:c r="H346" s="34" t="n">
        <x:v>0</x:v>
      </x:c>
      <x:c r="I346" s="34" t="str">
        <x:v>reaction</x:v>
      </x:c>
      <x:c r="J346" s="34" t="str"/>
      <x:c r="K346" s="34" t="str"/>
      <x:c r="L346" s="34" t="str"/>
      <x:c r="M346" s="12" t="str"/>
      <x:c r="N346" s="12" t="str">
        <x:v>Charm, Passive, Survival</x:v>
      </x:c>
      <x:c r="O346" s="12" t="str">
        <x:v>When Doom or a hunt consequence would affect you, reduce it by 1; exhaust this charm.</x:v>
      </x:c>
      <x:c r="P346" s="12" t="str">
        <x:v>When Doom, Panic, or a hunt consequence would affect this survivor, reduce it by 1; exhaust this charm until the next settlement phase. If you deal no HP damage, gain +2 break damage.</x:v>
      </x:c>
      <x:c r="Q346" s="12" t="str"/>
      <x:c r="R346" s="12" t="str">
        <x:v>quirk: careful</x:v>
      </x:c>
      <x:c r="S346" s="12" t="str">
        <x:v>1a8bb31ba4bc</x:v>
      </x:c>
      <x:c r="T346" s="12" t="n">
        <x:f>COUNTIF($S$2:$S$757,S346)</x:f>
        <x:v>1</x:v>
      </x:c>
      <x:c r="U346" s="12" t="str">
        <x:f>IF(T346=1,"OK","DUPLICATE")</x:f>
        <x:v>OK</x:v>
      </x:c>
    </x:row>
    <x:row r="347" ht="39.599998474121094" hidden="0" customHeight="1">
      <x:c r="A347" s="12" t="str">
        <x:v>Hunter Whip</x:v>
      </x:c>
      <x:c r="B347" s="12" t="str">
        <x:v>HUNTER WHIP</x:v>
      </x:c>
      <x:c r="C347" s="12" t="str">
        <x:v>weapon</x:v>
      </x:c>
      <x:c r="D347" s="12" t="str">
        <x:v>whip</x:v>
      </x:c>
      <x:c r="E347" s="12" t="str">
        <x:v>early</x:v>
      </x:c>
      <x:c r="F347" s="12" t="str">
        <x:v>common</x:v>
      </x:c>
      <x:c r="G347" s="12" t="str">
        <x:v>Hunter Whip — Opening Strike</x:v>
      </x:c>
      <x:c r="H347" s="34" t="n">
        <x:v>1</x:v>
      </x:c>
      <x:c r="I347" s="34" t="str">
        <x:v>attack</x:v>
      </x:c>
      <x:c r="J347" s="34" t="n">
        <x:v>3</x:v>
      </x:c>
      <x:c r="K347" s="34" t="n">
        <x:v>2</x:v>
      </x:c>
      <x:c r="L347" s="34" t="str"/>
      <x:c r="M347" s="12" t="str">
        <x:v>Exposed 2 | Target: Settlement</x:v>
      </x:c>
      <x:c r="N347" s="12" t="str">
        <x:v>Reach, Marking, WeakPoint, Attack</x:v>
      </x:c>
      <x:c r="O347" s="12" t="str">
        <x:v>Deal 3 damage. Apply Exposed 2 if the target has a Settlement weak point, otherwise gain Marked 1.</x:v>
      </x:c>
      <x:c r="P347" s="12" t="str">
        <x:v>Deal 3 damage with Hunter Whip. Apply Exposed 2 against a matching Settlement weak point; otherwise apply Marked 1. After use, Exhaust this equipment until the next monster turn.</x:v>
      </x:c>
      <x:c r="Q347" s="12" t="str"/>
      <x:c r="R347" s="12" t="str">
        <x:v>quirk: exhaust</x:v>
      </x:c>
      <x:c r="S347" s="12" t="str">
        <x:v>e2d41ff3834c</x:v>
      </x:c>
      <x:c r="T347" s="12" t="n">
        <x:f>COUNTIF($S$2:$S$757,S347)</x:f>
        <x:v>1</x:v>
      </x:c>
      <x:c r="U347" s="12" t="str">
        <x:f>IF(T347=1,"OK","DUPLICATE")</x:f>
        <x:v>OK</x:v>
      </x:c>
    </x:row>
    <x:row r="348" ht="26.399999618530273" hidden="0" customHeight="1">
      <x:c r="A348" s="12" t="str">
        <x:v>Hunter Whip</x:v>
      </x:c>
      <x:c r="B348" s="12" t="str">
        <x:v>HUNTER WHIP</x:v>
      </x:c>
      <x:c r="C348" s="12" t="str">
        <x:v>weapon</x:v>
      </x:c>
      <x:c r="D348" s="12" t="str">
        <x:v>whip</x:v>
      </x:c>
      <x:c r="E348" s="12" t="str">
        <x:v>early</x:v>
      </x:c>
      <x:c r="F348" s="12" t="str">
        <x:v>common</x:v>
      </x:c>
      <x:c r="G348" s="12" t="str">
        <x:v>Hunter Whip — Technique</x:v>
      </x:c>
      <x:c r="H348" s="34" t="n">
        <x:v>2</x:v>
      </x:c>
      <x:c r="I348" s="34" t="str">
        <x:v>skill</x:v>
      </x:c>
      <x:c r="J348" s="34" t="str"/>
      <x:c r="K348" s="34" t="str"/>
      <x:c r="L348" s="34" t="n">
        <x:v>2</x:v>
      </x:c>
      <x:c r="M348" s="12" t="str">
        <x:v>Opens: True</x:v>
      </x:c>
      <x:c r="N348" s="12" t="str">
        <x:v>Reach, Marking, WeakPoint, Setup</x:v>
      </x:c>
      <x:c r="O348" s="12" t="str">
        <x:v>Hook a limb; apply Snared 2, then Open a limb weak point if present. Also gain 2 block.</x:v>
      </x:c>
      <x:c r="P348" s="12" t="str">
        <x:v>Hook a limb; apply Snared 2, then Open a limb weak point if present. Gain 2 block. After use, Exhaust this equipment until the next monster turn.</x:v>
      </x:c>
      <x:c r="Q348" s="12" t="str"/>
      <x:c r="R348" s="12" t="str">
        <x:v>quirk: exhaust</x:v>
      </x:c>
      <x:c r="S348" s="12" t="str">
        <x:v>45e61ad549b0</x:v>
      </x:c>
      <x:c r="T348" s="12" t="n">
        <x:f>COUNTIF($S$2:$S$757,S348)</x:f>
        <x:v>1</x:v>
      </x:c>
      <x:c r="U348" s="12" t="str">
        <x:f>IF(T348=1,"OK","DUPLICATE")</x:f>
        <x:v>OK</x:v>
      </x:c>
    </x:row>
    <x:row r="349" ht="26.399999618530273" hidden="0" customHeight="1">
      <x:c r="A349" s="12" t="str">
        <x:v>Hunter Whip</x:v>
      </x:c>
      <x:c r="B349" s="12" t="str">
        <x:v>HUNTER WHIP</x:v>
      </x:c>
      <x:c r="C349" s="12" t="str">
        <x:v>weapon</x:v>
      </x:c>
      <x:c r="D349" s="12" t="str">
        <x:v>whip</x:v>
      </x:c>
      <x:c r="E349" s="12" t="str">
        <x:v>early</x:v>
      </x:c>
      <x:c r="F349" s="12" t="str">
        <x:v>common</x:v>
      </x:c>
      <x:c r="G349" s="12" t="str">
        <x:v>Hunter Whip — Payoff</x:v>
      </x:c>
      <x:c r="H349" s="34" t="n">
        <x:v>2</x:v>
      </x:c>
      <x:c r="I349" s="34" t="str">
        <x:v>attack</x:v>
      </x:c>
      <x:c r="J349" s="34" t="n">
        <x:v>7</x:v>
      </x:c>
      <x:c r="K349" s="34" t="n">
        <x:v>3</x:v>
      </x:c>
      <x:c r="L349" s="34" t="str"/>
      <x:c r="M349" s="12" t="str">
        <x:v>Exposed 1</x:v>
      </x:c>
      <x:c r="N349" s="12" t="str">
        <x:v>Reach, Marking, WeakPoint, Payoff</x:v>
      </x:c>
      <x:c r="O349" s="12" t="str">
        <x:v>Deal 7 damage and 3 break damage. If this breaks a weak point, resolve Exposed 1 and the exhaust rider.</x:v>
      </x:c>
      <x:c r="P349" s="12" t="str">
        <x:v>Deal 7 damage and 3 break damage. If the weak point breaks, apply Exposed 1 and resolve: After use, Exhaust this equipment until the next monster turn.</x:v>
      </x:c>
      <x:c r="Q349" s="12" t="str"/>
      <x:c r="R349" s="12" t="str">
        <x:v>quirk: exhaust | countsAsCounter False, firstCounterFree False</x:v>
      </x:c>
      <x:c r="S349" s="12" t="str">
        <x:v>5462314fc9a2</x:v>
      </x:c>
      <x:c r="T349" s="12" t="n">
        <x:f>COUNTIF($S$2:$S$757,S349)</x:f>
        <x:v>1</x:v>
      </x:c>
      <x:c r="U349" s="12" t="str">
        <x:f>IF(T349=1,"OK","DUPLICATE")</x:f>
        <x:v>OK</x:v>
      </x:c>
    </x:row>
    <x:row r="350" ht="39.599998474121094" hidden="0" customHeight="1">
      <x:c r="A350" s="12" t="str">
        <x:v>Ignis Fatuus</x:v>
      </x:c>
      <x:c r="B350" s="12" t="str">
        <x:v>IGNIS FATUUS</x:v>
      </x:c>
      <x:c r="C350" s="12" t="str">
        <x:v>tool</x:v>
      </x:c>
      <x:c r="D350" s="12" t="str">
        <x:v>tool</x:v>
      </x:c>
      <x:c r="E350" s="12" t="str">
        <x:v>early</x:v>
      </x:c>
      <x:c r="F350" s="12" t="str">
        <x:v>uncommon</x:v>
      </x:c>
      <x:c r="G350" s="12" t="str">
        <x:v>Ignis Fatuus — Use</x:v>
      </x:c>
      <x:c r="H350" s="34" t="n">
        <x:v>0</x:v>
      </x:c>
      <x:c r="I350" s="34" t="str">
        <x:v>skill</x:v>
      </x:c>
      <x:c r="J350" s="34" t="str"/>
      <x:c r="K350" s="34" t="str"/>
      <x:c r="L350" s="34" t="str"/>
      <x:c r="M350" s="12" t="str">
        <x:v>Bleed 2</x:v>
      </x:c>
      <x:c r="N350" s="12" t="str">
        <x:v>Tool, Harvest, Retreat</x:v>
      </x:c>
      <x:c r="O350" s="12" t="str">
        <x:v>Gain +3 to the next harvest, retreat, or weak-point test. If it fails, apply Bleed 2 to the quarry or clear it from a survivor.</x:v>
      </x:c>
      <x:c r="P350" s="12" t="str">
        <x:v>Gain +3 to the next harvest, retreat, or weak-point test linked to Dark Catarium. On failure, either apply Bleed 2 to the quarry or clear that status from a survivor. If you already played an attack this turn, add +1 damage or +1 block.</x:v>
      </x:c>
      <x:c r="Q350" s="12" t="str"/>
      <x:c r="R350" s="12" t="str">
        <x:v>quirk: followUp</x:v>
      </x:c>
      <x:c r="S350" s="12" t="str">
        <x:v>baeb12d69b11</x:v>
      </x:c>
      <x:c r="T350" s="12" t="n">
        <x:f>COUNTIF($S$2:$S$757,S350)</x:f>
        <x:v>1</x:v>
      </x:c>
      <x:c r="U350" s="12" t="str">
        <x:f>IF(T350=1,"OK","DUPLICATE")</x:f>
        <x:v>OK</x:v>
      </x:c>
    </x:row>
    <x:row r="351" ht="39.599998474121094" hidden="0" customHeight="1">
      <x:c r="A351" s="12" t="str">
        <x:v>Ignis Fatuus</x:v>
      </x:c>
      <x:c r="B351" s="12" t="str">
        <x:v>IGNIS FATUUS</x:v>
      </x:c>
      <x:c r="C351" s="12" t="str">
        <x:v>tool</x:v>
      </x:c>
      <x:c r="D351" s="12" t="str">
        <x:v>tool</x:v>
      </x:c>
      <x:c r="E351" s="12" t="str">
        <x:v>early</x:v>
      </x:c>
      <x:c r="F351" s="12" t="str">
        <x:v>uncommon</x:v>
      </x:c>
      <x:c r="G351" s="12" t="str">
        <x:v>Ignis Fatuus — Contingency</x:v>
      </x:c>
      <x:c r="H351" s="34" t="n">
        <x:v>1</x:v>
      </x:c>
      <x:c r="I351" s="34" t="str">
        <x:v>reaction</x:v>
      </x:c>
      <x:c r="J351" s="34" t="str"/>
      <x:c r="K351" s="34" t="str"/>
      <x:c r="L351" s="34" t="str"/>
      <x:c r="M351" s="12" t="str"/>
      <x:c r="N351" s="12" t="str">
        <x:v>Tool, Harvest, Retreat</x:v>
      </x:c>
      <x:c r="O351" s="12" t="str">
        <x:v>When a hunt or monster consequence is previewed, reduce it by 3; on retreat, preserve 1 gathered resource.</x:v>
      </x:c>
      <x:c r="P351" s="12" t="str">
        <x:v>When a hunt event, retreat roll, or monster consequence is previewed, reduce the penalty by 3. If retreating, preserve 1 gathered resource. If you already played an attack this turn, add +1 damage or +1 block.</x:v>
      </x:c>
      <x:c r="Q351" s="12" t="str"/>
      <x:c r="R351" s="12" t="str">
        <x:v>quirk: followUp</x:v>
      </x:c>
      <x:c r="S351" s="12" t="str">
        <x:v>24db9263225b</x:v>
      </x:c>
      <x:c r="T351" s="12" t="n">
        <x:f>COUNTIF($S$2:$S$757,S351)</x:f>
        <x:v>1</x:v>
      </x:c>
      <x:c r="U351" s="12" t="str">
        <x:f>IF(T351=1,"OK","DUPLICATE")</x:f>
        <x:v>OK</x:v>
      </x:c>
    </x:row>
    <x:row r="352" ht="39.599998474121094" hidden="0" customHeight="1">
      <x:c r="A352" s="12" t="str">
        <x:v>Ink Bagpipes (Hunt Phase)</x:v>
      </x:c>
      <x:c r="B352" s="12" t="str">
        <x:v>INK BAGPIPES (HUNT PHASE)</x:v>
      </x:c>
      <x:c r="C352" s="12" t="str">
        <x:v>tool</x:v>
      </x:c>
      <x:c r="D352" s="12" t="str">
        <x:v>tool</x:v>
      </x:c>
      <x:c r="E352" s="12" t="str">
        <x:v>early</x:v>
      </x:c>
      <x:c r="F352" s="12" t="str">
        <x:v>uncommon</x:v>
      </x:c>
      <x:c r="G352" s="12" t="str">
        <x:v>Ink Bagpipes (Hunt Phase) — Use</x:v>
      </x:c>
      <x:c r="H352" s="34" t="n">
        <x:v>0</x:v>
      </x:c>
      <x:c r="I352" s="34" t="str">
        <x:v>skill</x:v>
      </x:c>
      <x:c r="J352" s="34" t="str"/>
      <x:c r="K352" s="34" t="str"/>
      <x:c r="L352" s="34" t="str"/>
      <x:c r="M352" s="12" t="str">
        <x:v>Bleed 1</x:v>
      </x:c>
      <x:c r="N352" s="12" t="str">
        <x:v>Tool, Harvest, Retreat</x:v>
      </x:c>
      <x:c r="O352" s="12" t="str">
        <x:v>Gain +1 to the next harvest, retreat, or weak-point test. If it fails, apply Bleed 1 to the quarry or clear it from a survivor.</x:v>
      </x:c>
      <x:c r="P352" s="12" t="str">
        <x:v>Gain +1 to the next harvest, retreat, or weak-point test linked to Hunting Hall. On failure, either apply Bleed 1 to the quarry or clear that status from a survivor. If the quarry is below half HP, add +1 break damage.</x:v>
      </x:c>
      <x:c r="Q352" s="12" t="str"/>
      <x:c r="R352" s="12" t="str">
        <x:v>quirk: bloodied</x:v>
      </x:c>
      <x:c r="S352" s="12" t="str">
        <x:v>0a5702ae1cc4</x:v>
      </x:c>
      <x:c r="T352" s="12" t="n">
        <x:f>COUNTIF($S$2:$S$757,S352)</x:f>
        <x:v>1</x:v>
      </x:c>
      <x:c r="U352" s="12" t="str">
        <x:f>IF(T352=1,"OK","DUPLICATE")</x:f>
        <x:v>OK</x:v>
      </x:c>
    </x:row>
    <x:row r="353" ht="39.599998474121094" hidden="0" customHeight="1">
      <x:c r="A353" s="12" t="str">
        <x:v>Ink Bagpipes (Hunt Phase)</x:v>
      </x:c>
      <x:c r="B353" s="12" t="str">
        <x:v>INK BAGPIPES (HUNT PHASE)</x:v>
      </x:c>
      <x:c r="C353" s="12" t="str">
        <x:v>tool</x:v>
      </x:c>
      <x:c r="D353" s="12" t="str">
        <x:v>tool</x:v>
      </x:c>
      <x:c r="E353" s="12" t="str">
        <x:v>early</x:v>
      </x:c>
      <x:c r="F353" s="12" t="str">
        <x:v>uncommon</x:v>
      </x:c>
      <x:c r="G353" s="12" t="str">
        <x:v>Ink Bagpipes (Hunt Phase) — Contingency</x:v>
      </x:c>
      <x:c r="H353" s="34" t="n">
        <x:v>0</x:v>
      </x:c>
      <x:c r="I353" s="34" t="str">
        <x:v>reaction</x:v>
      </x:c>
      <x:c r="J353" s="34" t="str"/>
      <x:c r="K353" s="34" t="str"/>
      <x:c r="L353" s="34" t="str"/>
      <x:c r="M353" s="12" t="str"/>
      <x:c r="N353" s="12" t="str">
        <x:v>Tool, Harvest, Retreat</x:v>
      </x:c>
      <x:c r="O353" s="12" t="str">
        <x:v>When a hunt or monster consequence is previewed, reduce it by 1; on retreat, preserve 2 gathered resource.</x:v>
      </x:c>
      <x:c r="P353" s="12" t="str">
        <x:v>When a hunt event, retreat roll, or monster consequence is previewed, reduce the penalty by 1. If retreating, preserve 2 gathered resource. If the quarry is below half HP, add +1 break damage.</x:v>
      </x:c>
      <x:c r="Q353" s="12" t="str"/>
      <x:c r="R353" s="12" t="str">
        <x:v>quirk: bloodied</x:v>
      </x:c>
      <x:c r="S353" s="12" t="str">
        <x:v>67a0ae6e6b3c</x:v>
      </x:c>
      <x:c r="T353" s="12" t="n">
        <x:f>COUNTIF($S$2:$S$757,S353)</x:f>
        <x:v>1</x:v>
      </x:c>
      <x:c r="U353" s="12" t="str">
        <x:f>IF(T353=1,"OK","DUPLICATE")</x:f>
        <x:v>OK</x:v>
      </x:c>
    </x:row>
    <x:row r="354" ht="39.599998474121094" hidden="0" customHeight="1">
      <x:c r="A354" s="12" t="str">
        <x:v>Ink Bagpipes (Showdown Phase)</x:v>
      </x:c>
      <x:c r="B354" s="12" t="str">
        <x:v>INK BAGPIPES (SHOWDOWN PHASE)</x:v>
      </x:c>
      <x:c r="C354" s="12" t="str">
        <x:v>tool</x:v>
      </x:c>
      <x:c r="D354" s="12" t="str">
        <x:v>tool</x:v>
      </x:c>
      <x:c r="E354" s="12" t="str">
        <x:v>early</x:v>
      </x:c>
      <x:c r="F354" s="12" t="str">
        <x:v>uncommon</x:v>
      </x:c>
      <x:c r="G354" s="12" t="str">
        <x:v>Ink Bagpipes (Showdown Phase) — Use</x:v>
      </x:c>
      <x:c r="H354" s="34" t="n">
        <x:v>1</x:v>
      </x:c>
      <x:c r="I354" s="34" t="str">
        <x:v>skill</x:v>
      </x:c>
      <x:c r="J354" s="34" t="str"/>
      <x:c r="K354" s="34" t="str"/>
      <x:c r="L354" s="34" t="str"/>
      <x:c r="M354" s="12" t="str">
        <x:v>Burn 1</x:v>
      </x:c>
      <x:c r="N354" s="12" t="str">
        <x:v>Tool, Harvest, Retreat</x:v>
      </x:c>
      <x:c r="O354" s="12" t="str">
        <x:v>Gain +2 to the next harvest, retreat, or weak-point test. If it fails, apply Burn 1 to the quarry or clear it from a survivor.</x:v>
      </x:c>
      <x:c r="P354" s="12" t="str">
        <x:v>Gain +2 to the next harvest, retreat, or weak-point test linked to Hunting Hall. On failure, either apply Burn 1 to the quarry or clear that status from a survivor. If the quarry is Marked, draw 1 then discard 1.</x:v>
      </x:c>
      <x:c r="Q354" s="12" t="str"/>
      <x:c r="R354" s="12" t="str">
        <x:v>quirk: marked</x:v>
      </x:c>
      <x:c r="S354" s="12" t="str">
        <x:v>698ad5c2e300</x:v>
      </x:c>
      <x:c r="T354" s="12" t="n">
        <x:f>COUNTIF($S$2:$S$757,S354)</x:f>
        <x:v>1</x:v>
      </x:c>
      <x:c r="U354" s="12" t="str">
        <x:f>IF(T354=1,"OK","DUPLICATE")</x:f>
        <x:v>OK</x:v>
      </x:c>
    </x:row>
    <x:row r="355" ht="39.599998474121094" hidden="0" customHeight="1">
      <x:c r="A355" s="12" t="str">
        <x:v>Ink Bagpipes (Showdown Phase)</x:v>
      </x:c>
      <x:c r="B355" s="12" t="str">
        <x:v>INK BAGPIPES (SHOWDOWN PHASE)</x:v>
      </x:c>
      <x:c r="C355" s="12" t="str">
        <x:v>tool</x:v>
      </x:c>
      <x:c r="D355" s="12" t="str">
        <x:v>tool</x:v>
      </x:c>
      <x:c r="E355" s="12" t="str">
        <x:v>early</x:v>
      </x:c>
      <x:c r="F355" s="12" t="str">
        <x:v>uncommon</x:v>
      </x:c>
      <x:c r="G355" s="12" t="str">
        <x:v>Ink Bagpipes (Showdown Phase) — Contingency</x:v>
      </x:c>
      <x:c r="H355" s="34" t="n">
        <x:v>1</x:v>
      </x:c>
      <x:c r="I355" s="34" t="str">
        <x:v>reaction</x:v>
      </x:c>
      <x:c r="J355" s="34" t="str"/>
      <x:c r="K355" s="34" t="str"/>
      <x:c r="L355" s="34" t="str"/>
      <x:c r="M355" s="12" t="str"/>
      <x:c r="N355" s="12" t="str">
        <x:v>Tool, Harvest, Retreat</x:v>
      </x:c>
      <x:c r="O355" s="12" t="str">
        <x:v>When a hunt or monster consequence is previewed, reduce it by 3; on retreat, preserve 1 gathered resource.</x:v>
      </x:c>
      <x:c r="P355" s="12" t="str">
        <x:v>When a hunt event, retreat roll, or monster consequence is previewed, reduce the penalty by 3. If retreating, preserve 1 gathered resource. If the quarry is Marked, draw 1 then discard 1.</x:v>
      </x:c>
      <x:c r="Q355" s="12" t="str"/>
      <x:c r="R355" s="12" t="str">
        <x:v>quirk: marked</x:v>
      </x:c>
      <x:c r="S355" s="12" t="str">
        <x:v>7dc394ed5f34</x:v>
      </x:c>
      <x:c r="T355" s="12" t="n">
        <x:f>COUNTIF($S$2:$S$757,S355)</x:f>
        <x:v>1</x:v>
      </x:c>
      <x:c r="U355" s="12" t="str">
        <x:f>IF(T355=1,"OK","DUPLICATE")</x:f>
        <x:v>OK</x:v>
      </x:c>
    </x:row>
    <x:row r="356" ht="39.599998474121094" hidden="0" customHeight="1">
      <x:c r="A356" s="12" t="str">
        <x:v>Ink Blood Bow</x:v>
      </x:c>
      <x:c r="B356" s="12" t="str">
        <x:v>INK BLOOD BOW</x:v>
      </x:c>
      <x:c r="C356" s="12" t="str">
        <x:v>weapon</x:v>
      </x:c>
      <x:c r="D356" s="12" t="str">
        <x:v>bow</x:v>
      </x:c>
      <x:c r="E356" s="12" t="str">
        <x:v>mid</x:v>
      </x:c>
      <x:c r="F356" s="12" t="str">
        <x:v>uncommon</x:v>
      </x:c>
      <x:c r="G356" s="12" t="str">
        <x:v>Ink Blood Bow — Opening Strike</x:v>
      </x:c>
      <x:c r="H356" s="34" t="n">
        <x:v>1</x:v>
      </x:c>
      <x:c r="I356" s="34" t="str">
        <x:v>attack</x:v>
      </x:c>
      <x:c r="J356" s="34" t="n">
        <x:v>4</x:v>
      </x:c>
      <x:c r="K356" s="34" t="n">
        <x:v>3</x:v>
      </x:c>
      <x:c r="L356" s="34" t="str"/>
      <x:c r="M356" s="12" t="str">
        <x:v>Poison 3 | Target: Sky Reef</x:v>
      </x:c>
      <x:c r="N356" s="12" t="str">
        <x:v>Ranged, Marking, Precise, Attack</x:v>
      </x:c>
      <x:c r="O356" s="12" t="str">
        <x:v>Deal 4 damage. Apply Poison 3 if the target has a Sky Reef weak point, otherwise gain Marked 1.</x:v>
      </x:c>
      <x:c r="P356" s="12" t="str">
        <x:v>Deal 4 damage with Ink Blood Bow. Apply Poison 3 against a matching Sky Reef weak point; otherwise apply Marked 1. If you play a third attack this round, gain Panic 1.</x:v>
      </x:c>
      <x:c r="Q356" s="12" t="str"/>
      <x:c r="R356" s="12" t="str">
        <x:v>quirk: frenzyCheck</x:v>
      </x:c>
      <x:c r="S356" s="12" t="str">
        <x:v>47540833cbf1</x:v>
      </x:c>
      <x:c r="T356" s="12" t="n">
        <x:f>COUNTIF($S$2:$S$757,S356)</x:f>
        <x:v>1</x:v>
      </x:c>
      <x:c r="U356" s="12" t="str">
        <x:f>IF(T356=1,"OK","DUPLICATE")</x:f>
        <x:v>OK</x:v>
      </x:c>
    </x:row>
    <x:row r="357" ht="26.399999618530273" hidden="0" customHeight="1">
      <x:c r="A357" s="12" t="str">
        <x:v>Ink Blood Bow</x:v>
      </x:c>
      <x:c r="B357" s="12" t="str">
        <x:v>INK BLOOD BOW</x:v>
      </x:c>
      <x:c r="C357" s="12" t="str">
        <x:v>weapon</x:v>
      </x:c>
      <x:c r="D357" s="12" t="str">
        <x:v>bow</x:v>
      </x:c>
      <x:c r="E357" s="12" t="str">
        <x:v>mid</x:v>
      </x:c>
      <x:c r="F357" s="12" t="str">
        <x:v>uncommon</x:v>
      </x:c>
      <x:c r="G357" s="12" t="str">
        <x:v>Ink Blood Bow — Technique</x:v>
      </x:c>
      <x:c r="H357" s="34" t="n">
        <x:v>2</x:v>
      </x:c>
      <x:c r="I357" s="34" t="str">
        <x:v>skill</x:v>
      </x:c>
      <x:c r="J357" s="34" t="str"/>
      <x:c r="K357" s="34" t="str"/>
      <x:c r="L357" s="34" t="n">
        <x:v>4</x:v>
      </x:c>
      <x:c r="M357" s="12" t="str">
        <x:v>Opens: True</x:v>
      </x:c>
      <x:c r="N357" s="12" t="str">
        <x:v>Ranged, Marking, Precise, Setup</x:v>
      </x:c>
      <x:c r="O357" s="12" t="str">
        <x:v>Mark a wing, eye or distant weak point; ranged attacks ignore Guarded 1. Also gain 4 block.</x:v>
      </x:c>
      <x:c r="P357" s="12" t="str">
        <x:v>Mark a wing, eye or distant weak point; ranged attacks ignore Guarded 1. Gain 4 block. If you play a third attack this round, gain Panic 1.</x:v>
      </x:c>
      <x:c r="Q357" s="12" t="str"/>
      <x:c r="R357" s="12" t="str">
        <x:v>quirk: frenzyCheck</x:v>
      </x:c>
      <x:c r="S357" s="12" t="str">
        <x:v>4e77340977fa</x:v>
      </x:c>
      <x:c r="T357" s="12" t="n">
        <x:f>COUNTIF($S$2:$S$757,S357)</x:f>
        <x:v>1</x:v>
      </x:c>
      <x:c r="U357" s="12" t="str">
        <x:f>IF(T357=1,"OK","DUPLICATE")</x:f>
        <x:v>OK</x:v>
      </x:c>
    </x:row>
    <x:row r="358" ht="26.399999618530273" hidden="0" customHeight="1">
      <x:c r="A358" s="12" t="str">
        <x:v>Ink Blood Bow</x:v>
      </x:c>
      <x:c r="B358" s="12" t="str">
        <x:v>INK BLOOD BOW</x:v>
      </x:c>
      <x:c r="C358" s="12" t="str">
        <x:v>weapon</x:v>
      </x:c>
      <x:c r="D358" s="12" t="str">
        <x:v>bow</x:v>
      </x:c>
      <x:c r="E358" s="12" t="str">
        <x:v>mid</x:v>
      </x:c>
      <x:c r="F358" s="12" t="str">
        <x:v>uncommon</x:v>
      </x:c>
      <x:c r="G358" s="12" t="str">
        <x:v>Ink Blood Bow — Payoff</x:v>
      </x:c>
      <x:c r="H358" s="34" t="n">
        <x:v>2</x:v>
      </x:c>
      <x:c r="I358" s="34" t="str">
        <x:v>attack</x:v>
      </x:c>
      <x:c r="J358" s="34" t="n">
        <x:v>8</x:v>
      </x:c>
      <x:c r="K358" s="34" t="n">
        <x:v>4</x:v>
      </x:c>
      <x:c r="L358" s="34" t="str"/>
      <x:c r="M358" s="12" t="str">
        <x:v>Poison 2</x:v>
      </x:c>
      <x:c r="N358" s="12" t="str">
        <x:v>Ranged, Marking, Precise, Payoff, WeakPoint</x:v>
      </x:c>
      <x:c r="O358" s="12" t="str">
        <x:v>Deal 8 damage and 4 break damage. If this breaks a weak point, resolve Poison 2 and the frenzyCheck rider.</x:v>
      </x:c>
      <x:c r="P358" s="12" t="str">
        <x:v>Deal 8 damage and 4 break damage. If the weak point breaks, apply Poison 2 and resolve: If you play a third attack this round, gain Panic 1.</x:v>
      </x:c>
      <x:c r="Q358" s="12" t="str"/>
      <x:c r="R358" s="12" t="str">
        <x:v>quirk: frenzyCheck | countsAsCounter False, firstCounterFree False</x:v>
      </x:c>
      <x:c r="S358" s="12" t="str">
        <x:v>846b62acef15</x:v>
      </x:c>
      <x:c r="T358" s="12" t="n">
        <x:f>COUNTIF($S$2:$S$757,S358)</x:f>
        <x:v>1</x:v>
      </x:c>
      <x:c r="U358" s="12" t="str">
        <x:f>IF(T358=1,"OK","DUPLICATE")</x:f>
        <x:v>OK</x:v>
      </x:c>
    </x:row>
    <x:row r="359" ht="39.599998474121094" hidden="0" customHeight="1">
      <x:c r="A359" s="12" t="str">
        <x:v>Ink Blade</x:v>
      </x:c>
      <x:c r="B359" s="12" t="str">
        <x:v>INK SWORD</x:v>
      </x:c>
      <x:c r="C359" s="12" t="str">
        <x:v>weapon</x:v>
      </x:c>
      <x:c r="D359" s="12" t="str">
        <x:v>sword</x:v>
      </x:c>
      <x:c r="E359" s="12" t="str">
        <x:v>mid</x:v>
      </x:c>
      <x:c r="F359" s="12" t="str">
        <x:v>uncommon</x:v>
      </x:c>
      <x:c r="G359" s="12" t="str">
        <x:v>Ink Blade — Opening Cut</x:v>
      </x:c>
      <x:c r="H359" s="34" t="n">
        <x:v>1</x:v>
      </x:c>
      <x:c r="I359" s="34" t="str">
        <x:v>attack</x:v>
      </x:c>
      <x:c r="J359" s="34" t="n">
        <x:v>4</x:v>
      </x:c>
      <x:c r="K359" s="34" t="n">
        <x:v>1</x:v>
      </x:c>
      <x:c r="L359" s="34" t="str"/>
      <x:c r="M359" s="12" t="str">
        <x:v>Snared 1 | Target: Sky Reef</x:v>
      </x:c>
      <x:c r="N359" s="12" t="str">
        <x:v>Precise, Marking, Counter, Attack</x:v>
      </x:c>
      <x:c r="O359" s="12" t="str">
        <x:v>Deal 4 damage. Apply Snared 1 if the target has a Sky Reef weak point, otherwise gain Marked 1.</x:v>
      </x:c>
      <x:c r="P359" s="12" t="str">
        <x:v>Deal 4 damage with Ink Blade. Apply Snared 1 against a matching Sky Reef weak point; otherwise apply Marked 1. If you deal no HP damage, gain +2 break damage.</x:v>
      </x:c>
      <x:c r="Q359" s="12" t="str"/>
      <x:c r="R359" s="12" t="str">
        <x:v>quirk: careful</x:v>
      </x:c>
      <x:c r="S359" s="12" t="str">
        <x:v>5429b7768d61</x:v>
      </x:c>
      <x:c r="T359" s="12" t="n">
        <x:f>COUNTIF($S$2:$S$757,S359)</x:f>
        <x:v>1</x:v>
      </x:c>
      <x:c r="U359" s="12" t="str">
        <x:f>IF(T359=1,"OK","DUPLICATE")</x:f>
        <x:v>OK</x:v>
      </x:c>
    </x:row>
    <x:row r="360" ht="39.599998474121094" hidden="0" customHeight="1">
      <x:c r="A360" s="12" t="str">
        <x:v>Ink Blade</x:v>
      </x:c>
      <x:c r="B360" s="12" t="str">
        <x:v>INK SWORD</x:v>
      </x:c>
      <x:c r="C360" s="12" t="str">
        <x:v>weapon</x:v>
      </x:c>
      <x:c r="D360" s="12" t="str">
        <x:v>sword</x:v>
      </x:c>
      <x:c r="E360" s="12" t="str">
        <x:v>mid</x:v>
      </x:c>
      <x:c r="F360" s="12" t="str">
        <x:v>uncommon</x:v>
      </x:c>
      <x:c r="G360" s="12" t="str">
        <x:v>Ink Blade — Technique</x:v>
      </x:c>
      <x:c r="H360" s="34" t="n">
        <x:v>1</x:v>
      </x:c>
      <x:c r="I360" s="34" t="str">
        <x:v>skill</x:v>
      </x:c>
      <x:c r="J360" s="34" t="str"/>
      <x:c r="K360" s="34" t="str"/>
      <x:c r="L360" s="34" t="n">
        <x:v>2</x:v>
      </x:c>
      <x:c r="M360" s="12" t="str">
        <x:v>Opens: True</x:v>
      </x:c>
      <x:c r="N360" s="12" t="str">
        <x:v>Precise, Marking, Counter, Setup</x:v>
      </x:c>
      <x:c r="O360" s="12" t="str">
        <x:v>Set a parry line; your next Counter with this equipment costs 0 if it is the first Counter this battle. Also gain 2 block.</x:v>
      </x:c>
      <x:c r="P360" s="12" t="str">
        <x:v>Set a parry line; your next Counter with this equipment costs 0 if it is the first Counter this battle. Gain 2 block. If you deal no HP damage, gain +2 break damage.</x:v>
      </x:c>
      <x:c r="Q360" s="12" t="str">
        <x:v>YES</x:v>
      </x:c>
      <x:c r="R360" s="12" t="str">
        <x:v>quirk: careful</x:v>
      </x:c>
      <x:c r="S360" s="12" t="str">
        <x:v>0b4ced6a8ec8</x:v>
      </x:c>
      <x:c r="T360" s="12" t="n">
        <x:f>COUNTIF($S$2:$S$757,S360)</x:f>
        <x:v>1</x:v>
      </x:c>
      <x:c r="U360" s="12" t="str">
        <x:f>IF(T360=1,"OK","DUPLICATE")</x:f>
        <x:v>OK</x:v>
      </x:c>
    </x:row>
    <x:row r="361" ht="26.399999618530273" hidden="0" customHeight="1">
      <x:c r="A361" s="12" t="str">
        <x:v>Ink Blade</x:v>
      </x:c>
      <x:c r="B361" s="12" t="str">
        <x:v>INK SWORD</x:v>
      </x:c>
      <x:c r="C361" s="12" t="str">
        <x:v>weapon</x:v>
      </x:c>
      <x:c r="D361" s="12" t="str">
        <x:v>sword</x:v>
      </x:c>
      <x:c r="E361" s="12" t="str">
        <x:v>mid</x:v>
      </x:c>
      <x:c r="F361" s="12" t="str">
        <x:v>uncommon</x:v>
      </x:c>
      <x:c r="G361" s="12" t="str">
        <x:v>Ink Blade — Payoff</x:v>
      </x:c>
      <x:c r="H361" s="34" t="n">
        <x:v>2</x:v>
      </x:c>
      <x:c r="I361" s="34" t="str">
        <x:v>reaction</x:v>
      </x:c>
      <x:c r="J361" s="34" t="n">
        <x:v>6</x:v>
      </x:c>
      <x:c r="K361" s="34" t="n">
        <x:v>2</x:v>
      </x:c>
      <x:c r="L361" s="34" t="str"/>
      <x:c r="M361" s="12" t="str">
        <x:v>Snared 1</x:v>
      </x:c>
      <x:c r="N361" s="12" t="str">
        <x:v>Precise, Marking, Counter, Payoff, WeakPoint</x:v>
      </x:c>
      <x:c r="O361" s="12" t="str">
        <x:v>Deal 6 damage and 2 break damage. If this breaks a weak point, resolve Snared 1 and the careful rider.</x:v>
      </x:c>
      <x:c r="P361" s="12" t="str">
        <x:v>Deal 6 damage and 2 break damage. If the weak point breaks, apply Snared 1 and resolve: If you deal no HP damage, gain +2 break damage.</x:v>
      </x:c>
      <x:c r="Q361" s="12" t="str">
        <x:v>YES</x:v>
      </x:c>
      <x:c r="R361" s="12" t="str">
        <x:v>quirk: careful | countsAsCounter True, firstCounterFree True</x:v>
      </x:c>
      <x:c r="S361" s="12" t="str">
        <x:v>5fde8f9e4f6a</x:v>
      </x:c>
      <x:c r="T361" s="12" t="n">
        <x:f>COUNTIF($S$2:$S$757,S361)</x:f>
        <x:v>1</x:v>
      </x:c>
      <x:c r="U361" s="12" t="str">
        <x:f>IF(T361=1,"OK","DUPLICATE")</x:f>
        <x:v>OK</x:v>
      </x:c>
    </x:row>
    <x:row r="362" ht="52.79999923706055" hidden="0" customHeight="1">
      <x:c r="A362" s="12" t="str">
        <x:v>Jack O' Lantern</x:v>
      </x:c>
      <x:c r="B362" s="12" t="str">
        <x:v>JACK O' LANTERN</x:v>
      </x:c>
      <x:c r="C362" s="12" t="str">
        <x:v>tool</x:v>
      </x:c>
      <x:c r="D362" s="12" t="str">
        <x:v>consumable</x:v>
      </x:c>
      <x:c r="E362" s="12" t="str">
        <x:v>early</x:v>
      </x:c>
      <x:c r="F362" s="12" t="str">
        <x:v>uncommon</x:v>
      </x:c>
      <x:c r="G362" s="12" t="str">
        <x:v>Jack O' Lantern — Use</x:v>
      </x:c>
      <x:c r="H362" s="34" t="n">
        <x:v>0</x:v>
      </x:c>
      <x:c r="I362" s="34" t="str">
        <x:v>skill</x:v>
      </x:c>
      <x:c r="J362" s="34" t="str"/>
      <x:c r="K362" s="34" t="str"/>
      <x:c r="L362" s="34" t="str"/>
      <x:c r="M362" s="12" t="str">
        <x:v>Shock 1</x:v>
      </x:c>
      <x:c r="N362" s="12" t="str">
        <x:v>Tool, Survival, Retreat</x:v>
      </x:c>
      <x:c r="O362" s="12" t="str">
        <x:v>Gain +2 to the next harvest, retreat, or weak-point test. If it fails, apply Shock 1 to the quarry or clear it from a survivor.</x:v>
      </x:c>
      <x:c r="P362" s="12" t="str">
        <x:v>Gain +2 to the next harvest, retreat, or weak-point test linked to this item. On failure, either apply Shock 1 to the quarry or clear that status from a survivor. If this breaks a weak point, improve harvest quality by one step unless it is already Clean.</x:v>
      </x:c>
      <x:c r="Q362" s="12" t="str"/>
      <x:c r="R362" s="12" t="str">
        <x:v>quirk: harvest</x:v>
      </x:c>
      <x:c r="S362" s="12" t="str">
        <x:v>298d05195766</x:v>
      </x:c>
      <x:c r="T362" s="12" t="n">
        <x:f>COUNTIF($S$2:$S$757,S362)</x:f>
        <x:v>1</x:v>
      </x:c>
      <x:c r="U362" s="12" t="str">
        <x:f>IF(T362=1,"OK","DUPLICATE")</x:f>
        <x:v>OK</x:v>
      </x:c>
    </x:row>
    <x:row r="363" ht="52.79999923706055" hidden="0" customHeight="1">
      <x:c r="A363" s="12" t="str">
        <x:v>Jack O' Lantern</x:v>
      </x:c>
      <x:c r="B363" s="12" t="str">
        <x:v>JACK O' LANTERN</x:v>
      </x:c>
      <x:c r="C363" s="12" t="str">
        <x:v>tool</x:v>
      </x:c>
      <x:c r="D363" s="12" t="str">
        <x:v>consumable</x:v>
      </x:c>
      <x:c r="E363" s="12" t="str">
        <x:v>early</x:v>
      </x:c>
      <x:c r="F363" s="12" t="str">
        <x:v>uncommon</x:v>
      </x:c>
      <x:c r="G363" s="12" t="str">
        <x:v>Jack O' Lantern — Contingency</x:v>
      </x:c>
      <x:c r="H363" s="34" t="n">
        <x:v>1</x:v>
      </x:c>
      <x:c r="I363" s="34" t="str">
        <x:v>reaction</x:v>
      </x:c>
      <x:c r="J363" s="34" t="str"/>
      <x:c r="K363" s="34" t="str"/>
      <x:c r="L363" s="34" t="str"/>
      <x:c r="M363" s="12" t="str"/>
      <x:c r="N363" s="12" t="str">
        <x:v>Tool, Survival, Retreat</x:v>
      </x:c>
      <x:c r="O363" s="12" t="str">
        <x:v>When a hunt or monster consequence is previewed, reduce it by 2; on retreat, preserve 2 gathered resource; After this resolves, the lowest-HP ally gains Guarded 1.</x:v>
      </x:c>
      <x:c r="P363" s="12" t="str">
        <x:v>When a hunt event, retreat roll, or monster consequence is previewed, reduce the penalty by 2. If retreating, preserve 2 gathered resource. If this breaks a weak point, improve harvest quality by one step unless it is already Clean. After this resolves, the lowest-HP ally gains Guarded 1.</x:v>
      </x:c>
      <x:c r="Q363" s="12" t="str"/>
      <x:c r="R363" s="12" t="str">
        <x:v>quirk: harvest+allyCover | visibleUnique:allyCover</x:v>
      </x:c>
      <x:c r="S363" s="12" t="str">
        <x:v>3ec7b20ba335</x:v>
      </x:c>
      <x:c r="T363" s="12" t="n">
        <x:f>COUNTIF($S$2:$S$757,S363)</x:f>
        <x:v>1</x:v>
      </x:c>
      <x:c r="U363" s="12" t="str">
        <x:f>IF(T363=1,"OK","DUPLICATE")</x:f>
        <x:v>OK</x:v>
      </x:c>
    </x:row>
    <x:row r="364" ht="39.599998474121094" hidden="0" customHeight="1">
      <x:c r="A364" s="12" t="str">
        <x:v>Juggernaut Knife</x:v>
      </x:c>
      <x:c r="B364" s="12" t="str">
        <x:v>JUGGERNAUT DAGGER</x:v>
      </x:c>
      <x:c r="C364" s="12" t="str">
        <x:v>weapon</x:v>
      </x:c>
      <x:c r="D364" s="12" t="str">
        <x:v>dagger</x:v>
      </x:c>
      <x:c r="E364" s="12" t="str">
        <x:v>mid</x:v>
      </x:c>
      <x:c r="F364" s="12" t="str">
        <x:v>uncommon</x:v>
      </x:c>
      <x:c r="G364" s="12" t="str">
        <x:v>Juggernaut Knife — Opening Cut</x:v>
      </x:c>
      <x:c r="H364" s="34" t="n">
        <x:v>0</x:v>
      </x:c>
      <x:c r="I364" s="34" t="str">
        <x:v>attack</x:v>
      </x:c>
      <x:c r="J364" s="34" t="n">
        <x:v>3</x:v>
      </x:c>
      <x:c r="K364" s="34" t="n">
        <x:v>2</x:v>
      </x:c>
      <x:c r="L364" s="34" t="str"/>
      <x:c r="M364" s="12" t="str">
        <x:v>Shock 3 | Target: Dung Beetle Knight</x:v>
      </x:c>
      <x:c r="N364" s="12" t="str">
        <x:v>Quick, Precise, Harvest, Attack</x:v>
      </x:c>
      <x:c r="O364" s="12" t="str">
        <x:v>Deal 3 damage. Apply Shock 3 if the target has a Dung Beetle Knight weak point, otherwise gain Marked 1.</x:v>
      </x:c>
      <x:c r="P364" s="12" t="str">
        <x:v>Deal 3 damage with Juggernaut Knife. Apply Shock 3 against a matching Dung Beetle Knight weak point; otherwise apply Marked 1. If you have no Bleed, Poison or Burn, add +1 to all listed values.</x:v>
      </x:c>
      <x:c r="Q364" s="12" t="str"/>
      <x:c r="R364" s="12" t="str">
        <x:v>quirk: cleanHands</x:v>
      </x:c>
      <x:c r="S364" s="12" t="str">
        <x:v>a885614a0ec8</x:v>
      </x:c>
      <x:c r="T364" s="12" t="n">
        <x:f>COUNTIF($S$2:$S$757,S364)</x:f>
        <x:v>1</x:v>
      </x:c>
      <x:c r="U364" s="12" t="str">
        <x:f>IF(T364=1,"OK","DUPLICATE")</x:f>
        <x:v>OK</x:v>
      </x:c>
    </x:row>
    <x:row r="365" ht="26.399999618530273" hidden="0" customHeight="1">
      <x:c r="A365" s="12" t="str">
        <x:v>Juggernaut Knife</x:v>
      </x:c>
      <x:c r="B365" s="12" t="str">
        <x:v>JUGGERNAUT DAGGER</x:v>
      </x:c>
      <x:c r="C365" s="12" t="str">
        <x:v>weapon</x:v>
      </x:c>
      <x:c r="D365" s="12" t="str">
        <x:v>dagger</x:v>
      </x:c>
      <x:c r="E365" s="12" t="str">
        <x:v>mid</x:v>
      </x:c>
      <x:c r="F365" s="12" t="str">
        <x:v>uncommon</x:v>
      </x:c>
      <x:c r="G365" s="12" t="str">
        <x:v>Juggernaut Knife — Technique</x:v>
      </x:c>
      <x:c r="H365" s="34" t="n">
        <x:v>1</x:v>
      </x:c>
      <x:c r="I365" s="34" t="str">
        <x:v>skill</x:v>
      </x:c>
      <x:c r="J365" s="34" t="str"/>
      <x:c r="K365" s="34" t="str"/>
      <x:c r="L365" s="34" t="n">
        <x:v>4</x:v>
      </x:c>
      <x:c r="M365" s="12" t="str">
        <x:v>Opens: True</x:v>
      </x:c>
      <x:c r="N365" s="12" t="str">
        <x:v>Quick, Precise, Harvest, Setup</x:v>
      </x:c>
      <x:c r="O365" s="12" t="str">
        <x:v>Expose a fragile weak point; next knife attack gains +2 break damage. Also gain 4 block.</x:v>
      </x:c>
      <x:c r="P365" s="12" t="str">
        <x:v>Expose a fragile weak point; next knife attack gains +2 break damage. Gain 4 block. If you have no Bleed, Poison or Burn, add +1 to all listed values.</x:v>
      </x:c>
      <x:c r="Q365" s="12" t="str"/>
      <x:c r="R365" s="12" t="str">
        <x:v>quirk: cleanHands</x:v>
      </x:c>
      <x:c r="S365" s="12" t="str">
        <x:v>6872e6f857f0</x:v>
      </x:c>
      <x:c r="T365" s="12" t="n">
        <x:f>COUNTIF($S$2:$S$757,S365)</x:f>
        <x:v>1</x:v>
      </x:c>
      <x:c r="U365" s="12" t="str">
        <x:f>IF(T365=1,"OK","DUPLICATE")</x:f>
        <x:v>OK</x:v>
      </x:c>
    </x:row>
    <x:row r="366" ht="26.399999618530273" hidden="0" customHeight="1">
      <x:c r="A366" s="12" t="str">
        <x:v>Juggernaut Knife</x:v>
      </x:c>
      <x:c r="B366" s="12" t="str">
        <x:v>JUGGERNAUT DAGGER</x:v>
      </x:c>
      <x:c r="C366" s="12" t="str">
        <x:v>weapon</x:v>
      </x:c>
      <x:c r="D366" s="12" t="str">
        <x:v>dagger</x:v>
      </x:c>
      <x:c r="E366" s="12" t="str">
        <x:v>mid</x:v>
      </x:c>
      <x:c r="F366" s="12" t="str">
        <x:v>uncommon</x:v>
      </x:c>
      <x:c r="G366" s="12" t="str">
        <x:v>Juggernaut Knife — Payoff</x:v>
      </x:c>
      <x:c r="H366" s="34" t="n">
        <x:v>2</x:v>
      </x:c>
      <x:c r="I366" s="34" t="str">
        <x:v>attack</x:v>
      </x:c>
      <x:c r="J366" s="34" t="n">
        <x:v>6</x:v>
      </x:c>
      <x:c r="K366" s="34" t="n">
        <x:v>3</x:v>
      </x:c>
      <x:c r="L366" s="34" t="str"/>
      <x:c r="M366" s="12" t="str">
        <x:v>Shock 2</x:v>
      </x:c>
      <x:c r="N366" s="12" t="str">
        <x:v>Quick, Precise, Harvest, Payoff, WeakPoint</x:v>
      </x:c>
      <x:c r="O366" s="12" t="str">
        <x:v>Deal 6 damage and 3 break damage. If this breaks a weak point, resolve Shock 2 and the cleanHands rider.</x:v>
      </x:c>
      <x:c r="P366" s="12" t="str">
        <x:v>Deal 6 damage and 3 break damage. If the weak point breaks, apply Shock 2 and resolve: If you have no Bleed, Poison or Burn, add +1 to all listed values.</x:v>
      </x:c>
      <x:c r="Q366" s="12" t="str"/>
      <x:c r="R366" s="12" t="str">
        <x:v>quirk: cleanHands | countsAsCounter False, firstCounterFree False</x:v>
      </x:c>
      <x:c r="S366" s="12" t="str">
        <x:v>b6c1b4eddc5a</x:v>
      </x:c>
      <x:c r="T366" s="12" t="n">
        <x:f>COUNTIF($S$2:$S$757,S366)</x:f>
        <x:v>1</x:v>
      </x:c>
      <x:c r="U366" s="12" t="str">
        <x:f>IF(T366=1,"OK","DUPLICATE")</x:f>
        <x:v>OK</x:v>
      </x:c>
    </x:row>
    <x:row r="367" ht="39.599998474121094" hidden="0" customHeight="1">
      <x:c r="A367" s="12" t="str">
        <x:v>King Spear</x:v>
      </x:c>
      <x:c r="B367" s="12" t="str">
        <x:v>KING SPEAR</x:v>
      </x:c>
      <x:c r="C367" s="12" t="str">
        <x:v>weapon</x:v>
      </x:c>
      <x:c r="D367" s="12" t="str">
        <x:v>spear</x:v>
      </x:c>
      <x:c r="E367" s="12" t="str">
        <x:v>early</x:v>
      </x:c>
      <x:c r="F367" s="12" t="str">
        <x:v>uncommon</x:v>
      </x:c>
      <x:c r="G367" s="12" t="str">
        <x:v>King Spear — Opening Strike</x:v>
      </x:c>
      <x:c r="H367" s="34" t="n">
        <x:v>1</x:v>
      </x:c>
      <x:c r="I367" s="34" t="str">
        <x:v>attack</x:v>
      </x:c>
      <x:c r="J367" s="34" t="n">
        <x:v>4</x:v>
      </x:c>
      <x:c r="K367" s="34" t="n">
        <x:v>1</x:v>
      </x:c>
      <x:c r="L367" s="34" t="str"/>
      <x:c r="M367" s="12" t="str">
        <x:v>Bleed 1 | Target: White Lion</x:v>
      </x:c>
      <x:c r="N367" s="12" t="str">
        <x:v>Reach, Defensive, WeakPoint, Attack</x:v>
      </x:c>
      <x:c r="O367" s="12" t="str">
        <x:v>Deal 4 damage. Apply Bleed 1 if the target has a White Lion weak point, otherwise gain Marked 1.</x:v>
      </x:c>
      <x:c r="P367" s="12" t="str">
        <x:v>Deal 4 damage with King Spear. Apply Bleed 1 against a matching White Lion weak point; otherwise apply Marked 1. If this would drop you to 0 HP, resolve the card first, then die if still at 0 HP.</x:v>
      </x:c>
      <x:c r="Q367" s="12" t="str"/>
      <x:c r="R367" s="12" t="str">
        <x:v>quirk: lastLight</x:v>
      </x:c>
      <x:c r="S367" s="12" t="str">
        <x:v>7eecf0edcb31</x:v>
      </x:c>
      <x:c r="T367" s="12" t="n">
        <x:f>COUNTIF($S$2:$S$757,S367)</x:f>
        <x:v>1</x:v>
      </x:c>
      <x:c r="U367" s="12" t="str">
        <x:f>IF(T367=1,"OK","DUPLICATE")</x:f>
        <x:v>OK</x:v>
      </x:c>
    </x:row>
    <x:row r="368" ht="26.399999618530273" hidden="0" customHeight="1">
      <x:c r="A368" s="12" t="str">
        <x:v>King Spear</x:v>
      </x:c>
      <x:c r="B368" s="12" t="str">
        <x:v>KING SPEAR</x:v>
      </x:c>
      <x:c r="C368" s="12" t="str">
        <x:v>weapon</x:v>
      </x:c>
      <x:c r="D368" s="12" t="str">
        <x:v>spear</x:v>
      </x:c>
      <x:c r="E368" s="12" t="str">
        <x:v>early</x:v>
      </x:c>
      <x:c r="F368" s="12" t="str">
        <x:v>uncommon</x:v>
      </x:c>
      <x:c r="G368" s="12" t="str">
        <x:v>King Spear — Technique</x:v>
      </x:c>
      <x:c r="H368" s="34" t="n">
        <x:v>2</x:v>
      </x:c>
      <x:c r="I368" s="34" t="str">
        <x:v>skill</x:v>
      </x:c>
      <x:c r="J368" s="34" t="str"/>
      <x:c r="K368" s="34" t="str"/>
      <x:c r="L368" s="34" t="n">
        <x:v>1</x:v>
      </x:c>
      <x:c r="M368" s="12" t="str">
        <x:v>Opens: True</x:v>
      </x:c>
      <x:c r="N368" s="12" t="str">
        <x:v>Reach, Defensive, WeakPoint, Setup</x:v>
      </x:c>
      <x:c r="O368" s="12" t="str">
        <x:v>Hold at reach; apply Snared 1 and gain Guarded 1 before retaliation. Also gain 1 block.</x:v>
      </x:c>
      <x:c r="P368" s="12" t="str">
        <x:v>Hold at reach; apply Snared 1 and gain Guarded 1 before retaliation. Gain 1 block. If this would drop you to 0 HP, resolve the card first, then die if still at 0 HP.</x:v>
      </x:c>
      <x:c r="Q368" s="12" t="str"/>
      <x:c r="R368" s="12" t="str">
        <x:v>quirk: lastLight</x:v>
      </x:c>
      <x:c r="S368" s="12" t="str">
        <x:v>d9430c86a295</x:v>
      </x:c>
      <x:c r="T368" s="12" t="n">
        <x:f>COUNTIF($S$2:$S$757,S368)</x:f>
        <x:v>1</x:v>
      </x:c>
      <x:c r="U368" s="12" t="str">
        <x:f>IF(T368=1,"OK","DUPLICATE")</x:f>
        <x:v>OK</x:v>
      </x:c>
    </x:row>
    <x:row r="369" ht="26.399999618530273" hidden="0" customHeight="1">
      <x:c r="A369" s="12" t="str">
        <x:v>King Spear</x:v>
      </x:c>
      <x:c r="B369" s="12" t="str">
        <x:v>KING SPEAR</x:v>
      </x:c>
      <x:c r="C369" s="12" t="str">
        <x:v>weapon</x:v>
      </x:c>
      <x:c r="D369" s="12" t="str">
        <x:v>spear</x:v>
      </x:c>
      <x:c r="E369" s="12" t="str">
        <x:v>early</x:v>
      </x:c>
      <x:c r="F369" s="12" t="str">
        <x:v>uncommon</x:v>
      </x:c>
      <x:c r="G369" s="12" t="str">
        <x:v>King Spear — Payoff</x:v>
      </x:c>
      <x:c r="H369" s="34" t="n">
        <x:v>2</x:v>
      </x:c>
      <x:c r="I369" s="34" t="str">
        <x:v>attack</x:v>
      </x:c>
      <x:c r="J369" s="34" t="n">
        <x:v>8</x:v>
      </x:c>
      <x:c r="K369" s="34" t="n">
        <x:v>2</x:v>
      </x:c>
      <x:c r="L369" s="34" t="str"/>
      <x:c r="M369" s="12" t="str">
        <x:v>Bleed 1</x:v>
      </x:c>
      <x:c r="N369" s="12" t="str">
        <x:v>Reach, Defensive, WeakPoint, Payoff</x:v>
      </x:c>
      <x:c r="O369" s="12" t="str">
        <x:v>Deal 8 damage and 2 break damage. If this breaks a weak point, resolve Bleed 1 and the lastLight rider.</x:v>
      </x:c>
      <x:c r="P369" s="12" t="str">
        <x:v>Deal 8 damage and 2 break damage. If the weak point breaks, apply Bleed 1 and resolve: If this would drop you to 0 HP, resolve the card first, then die if still at 0 HP.</x:v>
      </x:c>
      <x:c r="Q369" s="12" t="str"/>
      <x:c r="R369" s="12" t="str">
        <x:v>quirk: lastLight | countsAsCounter False, firstCounterFree False</x:v>
      </x:c>
      <x:c r="S369" s="12" t="str">
        <x:v>a640685264f2</x:v>
      </x:c>
      <x:c r="T369" s="12" t="n">
        <x:f>COUNTIF($S$2:$S$757,S369)</x:f>
        <x:v>1</x:v>
      </x:c>
      <x:c r="U369" s="12" t="str">
        <x:f>IF(T369=1,"OK","DUPLICATE")</x:f>
        <x:v>OK</x:v>
      </x:c>
    </x:row>
    <x:row r="370" ht="39.599998474121094" hidden="0" customHeight="1">
      <x:c r="A370" s="12" t="str">
        <x:v>Knuckle Guard</x:v>
      </x:c>
      <x:c r="B370" s="12" t="str">
        <x:v>KNUCKLE SHIELD</x:v>
      </x:c>
      <x:c r="C370" s="12" t="str">
        <x:v>weapon</x:v>
      </x:c>
      <x:c r="D370" s="12" t="str">
        <x:v>fistAndTooth</x:v>
      </x:c>
      <x:c r="E370" s="12" t="str">
        <x:v>mid</x:v>
      </x:c>
      <x:c r="F370" s="12" t="str">
        <x:v>uncommon</x:v>
      </x:c>
      <x:c r="G370" s="12" t="str">
        <x:v>Knuckle Guard — Opening Strike</x:v>
      </x:c>
      <x:c r="H370" s="34" t="n">
        <x:v>0</x:v>
      </x:c>
      <x:c r="I370" s="34" t="str">
        <x:v>attack</x:v>
      </x:c>
      <x:c r="J370" s="34" t="n">
        <x:v>3</x:v>
      </x:c>
      <x:c r="K370" s="34" t="n">
        <x:v>1</x:v>
      </x:c>
      <x:c r="L370" s="34" t="str"/>
      <x:c r="M370" s="12" t="str">
        <x:v>Bleed 2 | Target: Gorm</x:v>
      </x:c>
      <x:c r="N370" s="12" t="str">
        <x:v>Counter, Survival, Wound, Attack</x:v>
      </x:c>
      <x:c r="O370" s="12" t="str">
        <x:v>Deal 3 damage. Apply Bleed 2 if the target has a Gorm weak point, otherwise gain Marked 1.</x:v>
      </x:c>
      <x:c r="P370" s="12" t="str">
        <x:v>Deal 3 damage with Knuckle Guard. Apply Bleed 2 against a matching Gorm weak point; otherwise apply Marked 1. If this is your first card this turn, reduce its cost by 1, minimum 0.</x:v>
      </x:c>
      <x:c r="Q370" s="12" t="str"/>
      <x:c r="R370" s="12" t="str">
        <x:v>quirk: tempo</x:v>
      </x:c>
      <x:c r="S370" s="12" t="str">
        <x:v>08dc14fc4a05</x:v>
      </x:c>
      <x:c r="T370" s="12" t="n">
        <x:f>COUNTIF($S$2:$S$757,S370)</x:f>
        <x:v>1</x:v>
      </x:c>
      <x:c r="U370" s="12" t="str">
        <x:f>IF(T370=1,"OK","DUPLICATE")</x:f>
        <x:v>OK</x:v>
      </x:c>
    </x:row>
    <x:row r="371" ht="26.399999618530273" hidden="0" customHeight="1">
      <x:c r="A371" s="12" t="str">
        <x:v>Knuckle Guard</x:v>
      </x:c>
      <x:c r="B371" s="12" t="str">
        <x:v>KNUCKLE SHIELD</x:v>
      </x:c>
      <x:c r="C371" s="12" t="str">
        <x:v>weapon</x:v>
      </x:c>
      <x:c r="D371" s="12" t="str">
        <x:v>fistAndTooth</x:v>
      </x:c>
      <x:c r="E371" s="12" t="str">
        <x:v>mid</x:v>
      </x:c>
      <x:c r="F371" s="12" t="str">
        <x:v>uncommon</x:v>
      </x:c>
      <x:c r="G371" s="12" t="str">
        <x:v>Knuckle Guard — Technique</x:v>
      </x:c>
      <x:c r="H371" s="34" t="n">
        <x:v>1</x:v>
      </x:c>
      <x:c r="I371" s="34" t="str">
        <x:v>skill</x:v>
      </x:c>
      <x:c r="J371" s="34" t="str"/>
      <x:c r="K371" s="34" t="str"/>
      <x:c r="L371" s="34" t="n">
        <x:v>3</x:v>
      </x:c>
      <x:c r="M371" s="12" t="str">
        <x:v>Opens: True</x:v>
      </x:c>
      <x:c r="N371" s="12" t="str">
        <x:v>Counter, Survival, Wound, Setup</x:v>
      </x:c>
      <x:c r="O371" s="12" t="str">
        <x:v>Bait a close strike; after blocking, Counter with +2 damage. Also gain 3 block.</x:v>
      </x:c>
      <x:c r="P371" s="12" t="str">
        <x:v>Bait a close strike; after blocking, Counter with +2 damage. Gain 3 block. If this is your first card this turn, reduce its cost by 1, minimum 0.</x:v>
      </x:c>
      <x:c r="Q371" s="12" t="str">
        <x:v>YES</x:v>
      </x:c>
      <x:c r="R371" s="12" t="str">
        <x:v>quirk: tempo</x:v>
      </x:c>
      <x:c r="S371" s="12" t="str">
        <x:v>4a4a275b0c10</x:v>
      </x:c>
      <x:c r="T371" s="12" t="n">
        <x:f>COUNTIF($S$2:$S$757,S371)</x:f>
        <x:v>1</x:v>
      </x:c>
      <x:c r="U371" s="12" t="str">
        <x:f>IF(T371=1,"OK","DUPLICATE")</x:f>
        <x:v>OK</x:v>
      </x:c>
    </x:row>
    <x:row r="372" ht="26.399999618530273" hidden="0" customHeight="1">
      <x:c r="A372" s="12" t="str">
        <x:v>Knuckle Guard</x:v>
      </x:c>
      <x:c r="B372" s="12" t="str">
        <x:v>KNUCKLE SHIELD</x:v>
      </x:c>
      <x:c r="C372" s="12" t="str">
        <x:v>weapon</x:v>
      </x:c>
      <x:c r="D372" s="12" t="str">
        <x:v>fistAndTooth</x:v>
      </x:c>
      <x:c r="E372" s="12" t="str">
        <x:v>mid</x:v>
      </x:c>
      <x:c r="F372" s="12" t="str">
        <x:v>uncommon</x:v>
      </x:c>
      <x:c r="G372" s="12" t="str">
        <x:v>Knuckle Guard — Payoff</x:v>
      </x:c>
      <x:c r="H372" s="34" t="n">
        <x:v>2</x:v>
      </x:c>
      <x:c r="I372" s="34" t="str">
        <x:v>reaction</x:v>
      </x:c>
      <x:c r="J372" s="34" t="n">
        <x:v>5</x:v>
      </x:c>
      <x:c r="K372" s="34" t="n">
        <x:v>2</x:v>
      </x:c>
      <x:c r="L372" s="34" t="str"/>
      <x:c r="M372" s="12" t="str">
        <x:v>Bleed 1</x:v>
      </x:c>
      <x:c r="N372" s="12" t="str">
        <x:v>Counter, Survival, Wound, Payoff, WeakPoint</x:v>
      </x:c>
      <x:c r="O372" s="12" t="str">
        <x:v>Deal 5 damage and 2 break damage. If this breaks a weak point, resolve Bleed 1 and the tempo rider.</x:v>
      </x:c>
      <x:c r="P372" s="12" t="str">
        <x:v>Deal 5 damage and 2 break damage. If the weak point breaks, apply Bleed 1 and resolve: If this is your first card this turn, reduce its cost by 1, minimum 0.</x:v>
      </x:c>
      <x:c r="Q372" s="12" t="str">
        <x:v>YES</x:v>
      </x:c>
      <x:c r="R372" s="12" t="str">
        <x:v>quirk: tempo | countsAsCounter True, firstCounterFree True</x:v>
      </x:c>
      <x:c r="S372" s="12" t="str">
        <x:v>159cadb71eff</x:v>
      </x:c>
      <x:c r="T372" s="12" t="n">
        <x:f>COUNTIF($S$2:$S$757,S372)</x:f>
        <x:v>1</x:v>
      </x:c>
      <x:c r="U372" s="12" t="str">
        <x:f>IF(T372=1,"OK","DUPLICATE")</x:f>
        <x:v>OK</x:v>
      </x:c>
    </x:row>
    <x:row r="373" ht="39.599998474121094" hidden="0" customHeight="1">
      <x:c r="A373" s="12" t="str">
        <x:v>Lance of Longinus</x:v>
      </x:c>
      <x:c r="B373" s="12" t="str">
        <x:v>LANCE OF LONGINUS</x:v>
      </x:c>
      <x:c r="C373" s="12" t="str">
        <x:v>weapon</x:v>
      </x:c>
      <x:c r="D373" s="12" t="str">
        <x:v>spear</x:v>
      </x:c>
      <x:c r="E373" s="12" t="str">
        <x:v>early</x:v>
      </x:c>
      <x:c r="F373" s="12" t="str">
        <x:v>common</x:v>
      </x:c>
      <x:c r="G373" s="12" t="str">
        <x:v>Lance of Longinus — Opening Strike</x:v>
      </x:c>
      <x:c r="H373" s="34" t="n">
        <x:v>1</x:v>
      </x:c>
      <x:c r="I373" s="34" t="str">
        <x:v>attack</x:v>
      </x:c>
      <x:c r="J373" s="34" t="n">
        <x:v>4</x:v>
      </x:c>
      <x:c r="K373" s="34" t="n">
        <x:v>3</x:v>
      </x:c>
      <x:c r="L373" s="34" t="str"/>
      <x:c r="M373" s="12" t="str">
        <x:v>Marked 3 | Target: Screaming Antelope</x:v>
      </x:c>
      <x:c r="N373" s="12" t="str">
        <x:v>Reach, Defensive, WeakPoint, Attack</x:v>
      </x:c>
      <x:c r="O373" s="12" t="str">
        <x:v>Deal 4 damage. Apply Marked 3 if the target has a Screaming Antelope weak point, otherwise gain Marked 1.</x:v>
      </x:c>
      <x:c r="P373" s="12" t="str">
        <x:v>Deal 4 damage with Lance of Longinus. Apply Marked 3 against a matching Screaming Antelope weak point; otherwise apply Marked 1. If you already played an attack this turn, add +1 damage or +1 block.</x:v>
      </x:c>
      <x:c r="Q373" s="12" t="str"/>
      <x:c r="R373" s="12" t="str">
        <x:v>quirk: followUp</x:v>
      </x:c>
      <x:c r="S373" s="12" t="str">
        <x:v>07cf8cfc39c4</x:v>
      </x:c>
      <x:c r="T373" s="12" t="n">
        <x:f>COUNTIF($S$2:$S$757,S373)</x:f>
        <x:v>1</x:v>
      </x:c>
      <x:c r="U373" s="12" t="str">
        <x:f>IF(T373=1,"OK","DUPLICATE")</x:f>
        <x:v>OK</x:v>
      </x:c>
    </x:row>
    <x:row r="374" ht="26.399999618530273" hidden="0" customHeight="1">
      <x:c r="A374" s="12" t="str">
        <x:v>Lance of Longinus</x:v>
      </x:c>
      <x:c r="B374" s="12" t="str">
        <x:v>LANCE OF LONGINUS</x:v>
      </x:c>
      <x:c r="C374" s="12" t="str">
        <x:v>weapon</x:v>
      </x:c>
      <x:c r="D374" s="12" t="str">
        <x:v>spear</x:v>
      </x:c>
      <x:c r="E374" s="12" t="str">
        <x:v>early</x:v>
      </x:c>
      <x:c r="F374" s="12" t="str">
        <x:v>common</x:v>
      </x:c>
      <x:c r="G374" s="12" t="str">
        <x:v>Lance of Longinus — Technique</x:v>
      </x:c>
      <x:c r="H374" s="34" t="n">
        <x:v>2</x:v>
      </x:c>
      <x:c r="I374" s="34" t="str">
        <x:v>skill</x:v>
      </x:c>
      <x:c r="J374" s="34" t="str"/>
      <x:c r="K374" s="34" t="str"/>
      <x:c r="L374" s="34" t="n">
        <x:v>3</x:v>
      </x:c>
      <x:c r="M374" s="12" t="str">
        <x:v>Opens: True</x:v>
      </x:c>
      <x:c r="N374" s="12" t="str">
        <x:v>Reach, Defensive, WeakPoint, Setup</x:v>
      </x:c>
      <x:c r="O374" s="12" t="str">
        <x:v>Hold at reach; apply Snared 1 and gain Guarded 1 before retaliation. Also gain 3 block.</x:v>
      </x:c>
      <x:c r="P374" s="12" t="str">
        <x:v>Hold at reach; apply Snared 1 and gain Guarded 1 before retaliation. Gain 3 block. If you already played an attack this turn, add +1 damage or +1 block.</x:v>
      </x:c>
      <x:c r="Q374" s="12" t="str"/>
      <x:c r="R374" s="12" t="str">
        <x:v>quirk: followUp</x:v>
      </x:c>
      <x:c r="S374" s="12" t="str">
        <x:v>4f7b7267807d</x:v>
      </x:c>
      <x:c r="T374" s="12" t="n">
        <x:f>COUNTIF($S$2:$S$757,S374)</x:f>
        <x:v>1</x:v>
      </x:c>
      <x:c r="U374" s="12" t="str">
        <x:f>IF(T374=1,"OK","DUPLICATE")</x:f>
        <x:v>OK</x:v>
      </x:c>
    </x:row>
    <x:row r="375" ht="26.399999618530273" hidden="0" customHeight="1">
      <x:c r="A375" s="12" t="str">
        <x:v>Lance of Longinus</x:v>
      </x:c>
      <x:c r="B375" s="12" t="str">
        <x:v>LANCE OF LONGINUS</x:v>
      </x:c>
      <x:c r="C375" s="12" t="str">
        <x:v>weapon</x:v>
      </x:c>
      <x:c r="D375" s="12" t="str">
        <x:v>spear</x:v>
      </x:c>
      <x:c r="E375" s="12" t="str">
        <x:v>early</x:v>
      </x:c>
      <x:c r="F375" s="12" t="str">
        <x:v>common</x:v>
      </x:c>
      <x:c r="G375" s="12" t="str">
        <x:v>Lance of Longinus — Payoff</x:v>
      </x:c>
      <x:c r="H375" s="34" t="n">
        <x:v>2</x:v>
      </x:c>
      <x:c r="I375" s="34" t="str">
        <x:v>attack</x:v>
      </x:c>
      <x:c r="J375" s="34" t="n">
        <x:v>6</x:v>
      </x:c>
      <x:c r="K375" s="34" t="n">
        <x:v>4</x:v>
      </x:c>
      <x:c r="L375" s="34" t="str"/>
      <x:c r="M375" s="12" t="str">
        <x:v>Marked 2</x:v>
      </x:c>
      <x:c r="N375" s="12" t="str">
        <x:v>Reach, Defensive, WeakPoint, Payoff</x:v>
      </x:c>
      <x:c r="O375" s="12" t="str">
        <x:v>Deal 6 damage and 4 break damage. If this breaks a weak point, resolve Marked 2 and the followUp rider.</x:v>
      </x:c>
      <x:c r="P375" s="12" t="str">
        <x:v>Deal 6 damage and 4 break damage. If the weak point breaks, apply Marked 2 and resolve: If you already played an attack this turn, add +1 damage or +1 block.</x:v>
      </x:c>
      <x:c r="Q375" s="12" t="str"/>
      <x:c r="R375" s="12" t="str">
        <x:v>quirk: followUp | countsAsCounter False, firstCounterFree False</x:v>
      </x:c>
      <x:c r="S375" s="12" t="str">
        <x:v>73289a3a5b74</x:v>
      </x:c>
      <x:c r="T375" s="12" t="n">
        <x:f>COUNTIF($S$2:$S$757,S375)</x:f>
        <x:v>1</x:v>
      </x:c>
      <x:c r="U375" s="12" t="str">
        <x:f>IF(T375=1,"OK","DUPLICATE")</x:f>
        <x:v>OK</x:v>
      </x:c>
    </x:row>
    <x:row r="376" ht="39.599998474121094" hidden="0" customHeight="1">
      <x:c r="A376" s="12" t="str">
        <x:v>Lantern Armor Set</x:v>
      </x:c>
      <x:c r="B376" s="12" t="str">
        <x:v>LANTERN ARMOR SET</x:v>
      </x:c>
      <x:c r="C376" s="12" t="str">
        <x:v>set</x:v>
      </x:c>
      <x:c r="D376" s="12" t="str">
        <x:v>armor</x:v>
      </x:c>
      <x:c r="E376" s="12" t="str">
        <x:v>early</x:v>
      </x:c>
      <x:c r="F376" s="12" t="str">
        <x:v>uncommon</x:v>
      </x:c>
      <x:c r="G376" s="12" t="str">
        <x:v>Lantern Armor Set — Brace</x:v>
      </x:c>
      <x:c r="H376" s="34" t="n">
        <x:v>1</x:v>
      </x:c>
      <x:c r="I376" s="34" t="str">
        <x:v>skill</x:v>
      </x:c>
      <x:c r="J376" s="34" t="str"/>
      <x:c r="K376" s="34" t="str"/>
      <x:c r="L376" s="34" t="n">
        <x:v>4</x:v>
      </x:c>
      <x:c r="M376" s="12" t="str"/>
      <x:c r="N376" s="12" t="str">
        <x:v>Defensive, Party, WoundCare</x:v>
      </x:c>
      <x:c r="O376" s="12" t="str">
        <x:v>Gain 4 block and Guarded 1. If hit before your next turn, reduce Bleed or Panic by 1.</x:v>
      </x:c>
      <x:c r="P376" s="12" t="str">
        <x:v>Gain 4 block and Guarded 1. If the next monster hit lands before your next turn, reduce Bleed or Panic by 1 after damage. If you have any wound, add +1 damage but gain Panic 1.</x:v>
      </x:c>
      <x:c r="Q376" s="12" t="str"/>
      <x:c r="R376" s="12" t="str">
        <x:v>quirk: wounded</x:v>
      </x:c>
      <x:c r="S376" s="12" t="str">
        <x:v>17d5f8c59be8</x:v>
      </x:c>
      <x:c r="T376" s="12" t="n">
        <x:f>COUNTIF($S$2:$S$757,S376)</x:f>
        <x:v>1</x:v>
      </x:c>
      <x:c r="U376" s="12" t="str">
        <x:f>IF(T376=1,"OK","DUPLICATE")</x:f>
        <x:v>OK</x:v>
      </x:c>
    </x:row>
    <x:row r="377" ht="26.399999618530273" hidden="0" customHeight="1">
      <x:c r="A377" s="12" t="str">
        <x:v>Lantern Armor Set</x:v>
      </x:c>
      <x:c r="B377" s="12" t="str">
        <x:v>LANTERN ARMOR SET</x:v>
      </x:c>
      <x:c r="C377" s="12" t="str">
        <x:v>set</x:v>
      </x:c>
      <x:c r="D377" s="12" t="str">
        <x:v>armor</x:v>
      </x:c>
      <x:c r="E377" s="12" t="str">
        <x:v>early</x:v>
      </x:c>
      <x:c r="F377" s="12" t="str">
        <x:v>uncommon</x:v>
      </x:c>
      <x:c r="G377" s="12" t="str">
        <x:v>Lantern Armor Set — Setline</x:v>
      </x:c>
      <x:c r="H377" s="34" t="n">
        <x:v>1</x:v>
      </x:c>
      <x:c r="I377" s="34" t="str">
        <x:v>reaction</x:v>
      </x:c>
      <x:c r="J377" s="34" t="str"/>
      <x:c r="K377" s="34" t="str"/>
      <x:c r="L377" s="34" t="n">
        <x:v>5</x:v>
      </x:c>
      <x:c r="M377" s="12" t="str"/>
      <x:c r="N377" s="12" t="str">
        <x:v>Defensive, Party, WoundCare, Reaction</x:v>
      </x:c>
      <x:c r="O377" s="12" t="str">
        <x:v>After damage is previewed, prevent 5 damage. Then give the next ally Guarded 1.</x:v>
      </x:c>
      <x:c r="P377" s="12" t="str">
        <x:v>After incoming damage is previewed, prevent 5 damage with the set slot. Then the next ally gains Guarded 1. If you have any wound, add +1 damage but gain Panic 1.</x:v>
      </x:c>
      <x:c r="Q377" s="12" t="str"/>
      <x:c r="R377" s="12" t="str">
        <x:v>quirk: wounded</x:v>
      </x:c>
      <x:c r="S377" s="12" t="str">
        <x:v>927af9449428</x:v>
      </x:c>
      <x:c r="T377" s="12" t="n">
        <x:f>COUNTIF($S$2:$S$757,S377)</x:f>
        <x:v>1</x:v>
      </x:c>
      <x:c r="U377" s="12" t="str">
        <x:f>IF(T377=1,"OK","DUPLICATE")</x:f>
        <x:v>OK</x:v>
      </x:c>
    </x:row>
    <x:row r="378" ht="39.599998474121094" hidden="0" customHeight="1">
      <x:c r="A378" s="12" t="str">
        <x:v>Lantern Cuirass</x:v>
      </x:c>
      <x:c r="B378" s="12" t="str">
        <x:v>LANTERN CUIRASS</x:v>
      </x:c>
      <x:c r="C378" s="12" t="str">
        <x:v>body</x:v>
      </x:c>
      <x:c r="D378" s="12" t="str">
        <x:v>armor</x:v>
      </x:c>
      <x:c r="E378" s="12" t="str">
        <x:v>early</x:v>
      </x:c>
      <x:c r="F378" s="12" t="str">
        <x:v>uncommon</x:v>
      </x:c>
      <x:c r="G378" s="12" t="str">
        <x:v>Lantern Cuirass — Brace</x:v>
      </x:c>
      <x:c r="H378" s="34" t="n">
        <x:v>1</x:v>
      </x:c>
      <x:c r="I378" s="34" t="str">
        <x:v>skill</x:v>
      </x:c>
      <x:c r="J378" s="34" t="str"/>
      <x:c r="K378" s="34" t="str"/>
      <x:c r="L378" s="34" t="n">
        <x:v>5</x:v>
      </x:c>
      <x:c r="M378" s="12" t="str"/>
      <x:c r="N378" s="12" t="str">
        <x:v>Defensive, Party, WoundCare</x:v>
      </x:c>
      <x:c r="O378" s="12" t="str">
        <x:v>Gain 5 block and Guarded 2. If hit before your next turn, reduce Burn or Panic by 1.</x:v>
      </x:c>
      <x:c r="P378" s="12" t="str">
        <x:v>Gain 5 block and Guarded 2. If the next monster hit lands before your next turn, reduce Burn or Panic by 1 after damage. If this breaks a weak point, improve harvest quality by one step unless it is already Clean.</x:v>
      </x:c>
      <x:c r="Q378" s="12" t="str"/>
      <x:c r="R378" s="12" t="str">
        <x:v>quirk: harvest</x:v>
      </x:c>
      <x:c r="S378" s="12" t="str">
        <x:v>7b43b9b28912</x:v>
      </x:c>
      <x:c r="T378" s="12" t="n">
        <x:f>COUNTIF($S$2:$S$757,S378)</x:f>
        <x:v>1</x:v>
      </x:c>
      <x:c r="U378" s="12" t="str">
        <x:f>IF(T378=1,"OK","DUPLICATE")</x:f>
        <x:v>OK</x:v>
      </x:c>
    </x:row>
    <x:row r="379" ht="39.599998474121094" hidden="0" customHeight="1">
      <x:c r="A379" s="12" t="str">
        <x:v>Lantern Cuirass</x:v>
      </x:c>
      <x:c r="B379" s="12" t="str">
        <x:v>LANTERN CUIRASS</x:v>
      </x:c>
      <x:c r="C379" s="12" t="str">
        <x:v>body</x:v>
      </x:c>
      <x:c r="D379" s="12" t="str">
        <x:v>armor</x:v>
      </x:c>
      <x:c r="E379" s="12" t="str">
        <x:v>early</x:v>
      </x:c>
      <x:c r="F379" s="12" t="str">
        <x:v>uncommon</x:v>
      </x:c>
      <x:c r="G379" s="12" t="str">
        <x:v>Lantern Cuirass — Fitted Plate</x:v>
      </x:c>
      <x:c r="H379" s="34" t="n">
        <x:v>2</x:v>
      </x:c>
      <x:c r="I379" s="34" t="str">
        <x:v>reaction</x:v>
      </x:c>
      <x:c r="J379" s="34" t="str"/>
      <x:c r="K379" s="34" t="str"/>
      <x:c r="L379" s="34" t="n">
        <x:v>7</x:v>
      </x:c>
      <x:c r="M379" s="12" t="str"/>
      <x:c r="N379" s="12" t="str">
        <x:v>Defensive, Party, WoundCare, Reaction</x:v>
      </x:c>
      <x:c r="O379" s="12" t="str">
        <x:v>After damage is previewed, prevent 7 damage. Then give the next ally Guarded 1.</x:v>
      </x:c>
      <x:c r="P379" s="12" t="str">
        <x:v>After incoming damage is previewed, prevent 7 damage with the body slot. Then the next ally gains Guarded 1. If this breaks a weak point, improve harvest quality by one step unless it is already Clean.</x:v>
      </x:c>
      <x:c r="Q379" s="12" t="str"/>
      <x:c r="R379" s="12" t="str">
        <x:v>quirk: harvest</x:v>
      </x:c>
      <x:c r="S379" s="12" t="str">
        <x:v>3e496b88f7ef</x:v>
      </x:c>
      <x:c r="T379" s="12" t="n">
        <x:f>COUNTIF($S$2:$S$757,S379)</x:f>
        <x:v>1</x:v>
      </x:c>
      <x:c r="U379" s="12" t="str">
        <x:f>IF(T379=1,"OK","DUPLICATE")</x:f>
        <x:v>OK</x:v>
      </x:c>
    </x:row>
    <x:row r="380" ht="39.599998474121094" hidden="0" customHeight="1">
      <x:c r="A380" s="12" t="str">
        <x:v>Lantern Knife</x:v>
      </x:c>
      <x:c r="B380" s="12" t="str">
        <x:v>LANTERN DAGGER</x:v>
      </x:c>
      <x:c r="C380" s="12" t="str">
        <x:v>weapon</x:v>
      </x:c>
      <x:c r="D380" s="12" t="str">
        <x:v>dagger</x:v>
      </x:c>
      <x:c r="E380" s="12" t="str">
        <x:v>early</x:v>
      </x:c>
      <x:c r="F380" s="12" t="str">
        <x:v>uncommon</x:v>
      </x:c>
      <x:c r="G380" s="12" t="str">
        <x:v>Lantern Knife — Opening Cut</x:v>
      </x:c>
      <x:c r="H380" s="34" t="n">
        <x:v>0</x:v>
      </x:c>
      <x:c r="I380" s="34" t="str">
        <x:v>attack</x:v>
      </x:c>
      <x:c r="J380" s="34" t="n">
        <x:v>2</x:v>
      </x:c>
      <x:c r="K380" s="34" t="n">
        <x:v>2</x:v>
      </x:c>
      <x:c r="L380" s="34" t="str"/>
      <x:c r="M380" s="12" t="str">
        <x:v>Poison 3 | Target: Settlement</x:v>
      </x:c>
      <x:c r="N380" s="12" t="str">
        <x:v>Quick, Precise, Harvest, Attack</x:v>
      </x:c>
      <x:c r="O380" s="12" t="str">
        <x:v>Deal 2 damage. Apply Poison 3 if the target has a Settlement weak point, otherwise gain Marked 1.</x:v>
      </x:c>
      <x:c r="P380" s="12" t="str">
        <x:v>Deal 2 damage with Lantern Knife. Apply Poison 3 against a matching Settlement weak point; otherwise apply Marked 1. If you have Guarded, convert 1 Guarded into +2 damage.</x:v>
      </x:c>
      <x:c r="Q380" s="12" t="str"/>
      <x:c r="R380" s="12" t="str">
        <x:v>quirk: guarded</x:v>
      </x:c>
      <x:c r="S380" s="12" t="str">
        <x:v>a99403054073</x:v>
      </x:c>
      <x:c r="T380" s="12" t="n">
        <x:f>COUNTIF($S$2:$S$757,S380)</x:f>
        <x:v>1</x:v>
      </x:c>
      <x:c r="U380" s="12" t="str">
        <x:f>IF(T380=1,"OK","DUPLICATE")</x:f>
        <x:v>OK</x:v>
      </x:c>
    </x:row>
    <x:row r="381" ht="26.399999618530273" hidden="0" customHeight="1">
      <x:c r="A381" s="12" t="str">
        <x:v>Lantern Knife</x:v>
      </x:c>
      <x:c r="B381" s="12" t="str">
        <x:v>LANTERN DAGGER</x:v>
      </x:c>
      <x:c r="C381" s="12" t="str">
        <x:v>weapon</x:v>
      </x:c>
      <x:c r="D381" s="12" t="str">
        <x:v>dagger</x:v>
      </x:c>
      <x:c r="E381" s="12" t="str">
        <x:v>early</x:v>
      </x:c>
      <x:c r="F381" s="12" t="str">
        <x:v>uncommon</x:v>
      </x:c>
      <x:c r="G381" s="12" t="str">
        <x:v>Lantern Knife — Technique</x:v>
      </x:c>
      <x:c r="H381" s="34" t="n">
        <x:v>1</x:v>
      </x:c>
      <x:c r="I381" s="34" t="str">
        <x:v>skill</x:v>
      </x:c>
      <x:c r="J381" s="34" t="str"/>
      <x:c r="K381" s="34" t="str"/>
      <x:c r="L381" s="34" t="n">
        <x:v>3</x:v>
      </x:c>
      <x:c r="M381" s="12" t="str">
        <x:v>Opens: True</x:v>
      </x:c>
      <x:c r="N381" s="12" t="str">
        <x:v>Quick, Precise, Harvest, Setup</x:v>
      </x:c>
      <x:c r="O381" s="12" t="str">
        <x:v>Expose a fragile weak point; next knife attack gains +2 break damage. Also gain 3 block.</x:v>
      </x:c>
      <x:c r="P381" s="12" t="str">
        <x:v>Expose a fragile weak point; next knife attack gains +2 break damage. Gain 3 block. If you have Guarded, convert 1 Guarded into +2 damage.</x:v>
      </x:c>
      <x:c r="Q381" s="12" t="str"/>
      <x:c r="R381" s="12" t="str">
        <x:v>quirk: guarded</x:v>
      </x:c>
      <x:c r="S381" s="12" t="str">
        <x:v>661af509cdbf</x:v>
      </x:c>
      <x:c r="T381" s="12" t="n">
        <x:f>COUNTIF($S$2:$S$757,S381)</x:f>
        <x:v>1</x:v>
      </x:c>
      <x:c r="U381" s="12" t="str">
        <x:f>IF(T381=1,"OK","DUPLICATE")</x:f>
        <x:v>OK</x:v>
      </x:c>
    </x:row>
    <x:row r="382" ht="26.399999618530273" hidden="0" customHeight="1">
      <x:c r="A382" s="12" t="str">
        <x:v>Lantern Knife</x:v>
      </x:c>
      <x:c r="B382" s="12" t="str">
        <x:v>LANTERN DAGGER</x:v>
      </x:c>
      <x:c r="C382" s="12" t="str">
        <x:v>weapon</x:v>
      </x:c>
      <x:c r="D382" s="12" t="str">
        <x:v>dagger</x:v>
      </x:c>
      <x:c r="E382" s="12" t="str">
        <x:v>early</x:v>
      </x:c>
      <x:c r="F382" s="12" t="str">
        <x:v>uncommon</x:v>
      </x:c>
      <x:c r="G382" s="12" t="str">
        <x:v>Lantern Knife — Payoff</x:v>
      </x:c>
      <x:c r="H382" s="34" t="n">
        <x:v>2</x:v>
      </x:c>
      <x:c r="I382" s="34" t="str">
        <x:v>attack</x:v>
      </x:c>
      <x:c r="J382" s="34" t="n">
        <x:v>3</x:v>
      </x:c>
      <x:c r="K382" s="34" t="n">
        <x:v>3</x:v>
      </x:c>
      <x:c r="L382" s="34" t="str"/>
      <x:c r="M382" s="12" t="str">
        <x:v>Poison 2</x:v>
      </x:c>
      <x:c r="N382" s="12" t="str">
        <x:v>Quick, Precise, Harvest, Payoff, WeakPoint</x:v>
      </x:c>
      <x:c r="O382" s="12" t="str">
        <x:v>Deal 3 damage and 3 break damage. If this breaks a weak point, resolve Poison 2 and the guarded rider.</x:v>
      </x:c>
      <x:c r="P382" s="12" t="str">
        <x:v>Deal 3 damage and 3 break damage. If the weak point breaks, apply Poison 2 and resolve: If you have Guarded, convert 1 Guarded into +2 damage.</x:v>
      </x:c>
      <x:c r="Q382" s="12" t="str"/>
      <x:c r="R382" s="12" t="str">
        <x:v>quirk: guarded | countsAsCounter False, firstCounterFree False</x:v>
      </x:c>
      <x:c r="S382" s="12" t="str">
        <x:v>d370ff21e8d5</x:v>
      </x:c>
      <x:c r="T382" s="12" t="n">
        <x:f>COUNTIF($S$2:$S$757,S382)</x:f>
        <x:v>1</x:v>
      </x:c>
      <x:c r="U382" s="12" t="str">
        <x:f>IF(T382=1,"OK","DUPLICATE")</x:f>
        <x:v>OK</x:v>
      </x:c>
    </x:row>
    <x:row r="383" ht="39.599998474121094" hidden="0" customHeight="1">
      <x:c r="A383" s="12" t="str">
        <x:v>Lantern Gloves</x:v>
      </x:c>
      <x:c r="B383" s="12" t="str">
        <x:v>LANTERN GAUNTLETS</x:v>
      </x:c>
      <x:c r="C383" s="12" t="str">
        <x:v>arms</x:v>
      </x:c>
      <x:c r="D383" s="12" t="str">
        <x:v>armor</x:v>
      </x:c>
      <x:c r="E383" s="12" t="str">
        <x:v>early</x:v>
      </x:c>
      <x:c r="F383" s="12" t="str">
        <x:v>uncommon</x:v>
      </x:c>
      <x:c r="G383" s="12" t="str">
        <x:v>Lantern Gloves — Brace</x:v>
      </x:c>
      <x:c r="H383" s="34" t="n">
        <x:v>1</x:v>
      </x:c>
      <x:c r="I383" s="34" t="str">
        <x:v>skill</x:v>
      </x:c>
      <x:c r="J383" s="34" t="str"/>
      <x:c r="K383" s="34" t="str"/>
      <x:c r="L383" s="34" t="n">
        <x:v>3</x:v>
      </x:c>
      <x:c r="M383" s="12" t="str"/>
      <x:c r="N383" s="12" t="str">
        <x:v>Defensive, Party, WoundCare</x:v>
      </x:c>
      <x:c r="O383" s="12" t="str">
        <x:v>Gain 3 block and Guarded 1. If hit before your next turn, reduce Snared or Panic by 1.</x:v>
      </x:c>
      <x:c r="P383" s="12" t="str">
        <x:v>Gain 3 block and Guarded 1. If the next monster hit lands before your next turn, reduce Snared or Panic by 1 after damage. Chosen ally gains Guarded 1 after this resolves.</x:v>
      </x:c>
      <x:c r="Q383" s="12" t="str"/>
      <x:c r="R383" s="12" t="str">
        <x:v>quirk: ally</x:v>
      </x:c>
      <x:c r="S383" s="12" t="str">
        <x:v>e8a1599ca478</x:v>
      </x:c>
      <x:c r="T383" s="12" t="n">
        <x:f>COUNTIF($S$2:$S$757,S383)</x:f>
        <x:v>1</x:v>
      </x:c>
      <x:c r="U383" s="12" t="str">
        <x:f>IF(T383=1,"OK","DUPLICATE")</x:f>
        <x:v>OK</x:v>
      </x:c>
    </x:row>
    <x:row r="384" ht="26.399999618530273" hidden="0" customHeight="1">
      <x:c r="A384" s="12" t="str">
        <x:v>Lantern Gloves</x:v>
      </x:c>
      <x:c r="B384" s="12" t="str">
        <x:v>LANTERN GAUNTLETS</x:v>
      </x:c>
      <x:c r="C384" s="12" t="str">
        <x:v>arms</x:v>
      </x:c>
      <x:c r="D384" s="12" t="str">
        <x:v>armor</x:v>
      </x:c>
      <x:c r="E384" s="12" t="str">
        <x:v>early</x:v>
      </x:c>
      <x:c r="F384" s="12" t="str">
        <x:v>uncommon</x:v>
      </x:c>
      <x:c r="G384" s="12" t="str">
        <x:v>Lantern Gloves — Fitted Plate</x:v>
      </x:c>
      <x:c r="H384" s="34" t="n">
        <x:v>2</x:v>
      </x:c>
      <x:c r="I384" s="34" t="str">
        <x:v>reaction</x:v>
      </x:c>
      <x:c r="J384" s="34" t="str"/>
      <x:c r="K384" s="34" t="str"/>
      <x:c r="L384" s="34" t="n">
        <x:v>4</x:v>
      </x:c>
      <x:c r="M384" s="12" t="str"/>
      <x:c r="N384" s="12" t="str">
        <x:v>Defensive, Party, WoundCare, Reaction</x:v>
      </x:c>
      <x:c r="O384" s="12" t="str">
        <x:v>After damage is previewed, prevent 4 damage. Then give the next ally Guarded 1.</x:v>
      </x:c>
      <x:c r="P384" s="12" t="str">
        <x:v>After incoming damage is previewed, prevent 4 damage with the arms slot. Then the next ally gains Guarded 1. Chosen ally gains Guarded 1 after this resolves.</x:v>
      </x:c>
      <x:c r="Q384" s="12" t="str"/>
      <x:c r="R384" s="12" t="str">
        <x:v>quirk: ally</x:v>
      </x:c>
      <x:c r="S384" s="12" t="str">
        <x:v>119bcbcbcb24</x:v>
      </x:c>
      <x:c r="T384" s="12" t="n">
        <x:f>COUNTIF($S$2:$S$757,S384)</x:f>
        <x:v>1</x:v>
      </x:c>
      <x:c r="U384" s="12" t="str">
        <x:f>IF(T384=1,"OK","DUPLICATE")</x:f>
        <x:v>OK</x:v>
      </x:c>
    </x:row>
    <x:row r="385" ht="39.599998474121094" hidden="0" customHeight="1">
      <x:c r="A385" s="12" t="str">
        <x:v>Lantern Glaive</x:v>
      </x:c>
      <x:c r="B385" s="12" t="str">
        <x:v>LANTERN GLAIVE</x:v>
      </x:c>
      <x:c r="C385" s="12" t="str">
        <x:v>weapon</x:v>
      </x:c>
      <x:c r="D385" s="12" t="str">
        <x:v>spear</x:v>
      </x:c>
      <x:c r="E385" s="12" t="str">
        <x:v>early</x:v>
      </x:c>
      <x:c r="F385" s="12" t="str">
        <x:v>uncommon</x:v>
      </x:c>
      <x:c r="G385" s="12" t="str">
        <x:v>Lantern Glaive — Opening Strike</x:v>
      </x:c>
      <x:c r="H385" s="34" t="n">
        <x:v>1</x:v>
      </x:c>
      <x:c r="I385" s="34" t="str">
        <x:v>attack</x:v>
      </x:c>
      <x:c r="J385" s="34" t="n">
        <x:v>3</x:v>
      </x:c>
      <x:c r="K385" s="34" t="n">
        <x:v>2</x:v>
      </x:c>
      <x:c r="L385" s="34" t="str"/>
      <x:c r="M385" s="12" t="str">
        <x:v>Shock 2 | Target: Settlement</x:v>
      </x:c>
      <x:c r="N385" s="12" t="str">
        <x:v>Reach, Defensive, WeakPoint, Attack</x:v>
      </x:c>
      <x:c r="O385" s="12" t="str">
        <x:v>Deal 3 damage. Apply Shock 2 if the target has a Settlement weak point, otherwise gain Marked 1.</x:v>
      </x:c>
      <x:c r="P385" s="12" t="str">
        <x:v>Deal 3 damage with Lantern Glaive. Apply Shock 2 against a matching Settlement weak point; otherwise apply Marked 1. If this breaks a weak point, improve harvest quality by one step unless it is already Clean.</x:v>
      </x:c>
      <x:c r="Q385" s="12" t="str"/>
      <x:c r="R385" s="12" t="str">
        <x:v>quirk: harvest</x:v>
      </x:c>
      <x:c r="S385" s="12" t="str">
        <x:v>f0c1469802d1</x:v>
      </x:c>
      <x:c r="T385" s="12" t="n">
        <x:f>COUNTIF($S$2:$S$757,S385)</x:f>
        <x:v>1</x:v>
      </x:c>
      <x:c r="U385" s="12" t="str">
        <x:f>IF(T385=1,"OK","DUPLICATE")</x:f>
        <x:v>OK</x:v>
      </x:c>
    </x:row>
    <x:row r="386" ht="39.599998474121094" hidden="0" customHeight="1">
      <x:c r="A386" s="12" t="str">
        <x:v>Lantern Glaive</x:v>
      </x:c>
      <x:c r="B386" s="12" t="str">
        <x:v>LANTERN GLAIVE</x:v>
      </x:c>
      <x:c r="C386" s="12" t="str">
        <x:v>weapon</x:v>
      </x:c>
      <x:c r="D386" s="12" t="str">
        <x:v>spear</x:v>
      </x:c>
      <x:c r="E386" s="12" t="str">
        <x:v>early</x:v>
      </x:c>
      <x:c r="F386" s="12" t="str">
        <x:v>uncommon</x:v>
      </x:c>
      <x:c r="G386" s="12" t="str">
        <x:v>Lantern Glaive — Technique</x:v>
      </x:c>
      <x:c r="H386" s="34" t="n">
        <x:v>1</x:v>
      </x:c>
      <x:c r="I386" s="34" t="str">
        <x:v>skill</x:v>
      </x:c>
      <x:c r="J386" s="34" t="str"/>
      <x:c r="K386" s="34" t="str"/>
      <x:c r="L386" s="34" t="n">
        <x:v>2</x:v>
      </x:c>
      <x:c r="M386" s="12" t="str">
        <x:v>Opens: True</x:v>
      </x:c>
      <x:c r="N386" s="12" t="str">
        <x:v>Reach, Defensive, WeakPoint, Setup</x:v>
      </x:c>
      <x:c r="O386" s="12" t="str">
        <x:v>Hold at reach; apply Snared 1 and gain Guarded 1 before retaliation. Also gain 2 block.</x:v>
      </x:c>
      <x:c r="P386" s="12" t="str">
        <x:v>Hold at reach; apply Snared 1 and gain Guarded 1 before retaliation. Gain 2 block. If this breaks a weak point, improve harvest quality by one step unless it is already Clean.</x:v>
      </x:c>
      <x:c r="Q386" s="12" t="str"/>
      <x:c r="R386" s="12" t="str">
        <x:v>quirk: harvest</x:v>
      </x:c>
      <x:c r="S386" s="12" t="str">
        <x:v>621858aff69a</x:v>
      </x:c>
      <x:c r="T386" s="12" t="n">
        <x:f>COUNTIF($S$2:$S$757,S386)</x:f>
        <x:v>1</x:v>
      </x:c>
      <x:c r="U386" s="12" t="str">
        <x:f>IF(T386=1,"OK","DUPLICATE")</x:f>
        <x:v>OK</x:v>
      </x:c>
    </x:row>
    <x:row r="387" ht="39.599998474121094" hidden="0" customHeight="1">
      <x:c r="A387" s="12" t="str">
        <x:v>Lantern Glaive</x:v>
      </x:c>
      <x:c r="B387" s="12" t="str">
        <x:v>LANTERN GLAIVE</x:v>
      </x:c>
      <x:c r="C387" s="12" t="str">
        <x:v>weapon</x:v>
      </x:c>
      <x:c r="D387" s="12" t="str">
        <x:v>spear</x:v>
      </x:c>
      <x:c r="E387" s="12" t="str">
        <x:v>early</x:v>
      </x:c>
      <x:c r="F387" s="12" t="str">
        <x:v>uncommon</x:v>
      </x:c>
      <x:c r="G387" s="12" t="str">
        <x:v>Lantern Glaive — Payoff</x:v>
      </x:c>
      <x:c r="H387" s="34" t="n">
        <x:v>2</x:v>
      </x:c>
      <x:c r="I387" s="34" t="str">
        <x:v>attack</x:v>
      </x:c>
      <x:c r="J387" s="34" t="n">
        <x:v>7</x:v>
      </x:c>
      <x:c r="K387" s="34" t="n">
        <x:v>3</x:v>
      </x:c>
      <x:c r="L387" s="34" t="str"/>
      <x:c r="M387" s="12" t="str">
        <x:v>Shock 1</x:v>
      </x:c>
      <x:c r="N387" s="12" t="str">
        <x:v>Reach, Defensive, WeakPoint, Payoff</x:v>
      </x:c>
      <x:c r="O387" s="12" t="str">
        <x:v>Deal 7 damage and 3 break damage. If this breaks a weak point, resolve Shock 1 and the harvest rider.</x:v>
      </x:c>
      <x:c r="P387" s="12" t="str">
        <x:v>Deal 7 damage and 3 break damage. If the weak point breaks, apply Shock 1 and resolve: If this breaks a weak point, improve harvest quality by one step unless it is already Clean.</x:v>
      </x:c>
      <x:c r="Q387" s="12" t="str"/>
      <x:c r="R387" s="12" t="str">
        <x:v>quirk: harvest | countsAsCounter False, firstCounterFree False</x:v>
      </x:c>
      <x:c r="S387" s="12" t="str">
        <x:v>7c30e6b313c7</x:v>
      </x:c>
      <x:c r="T387" s="12" t="n">
        <x:f>COUNTIF($S$2:$S$757,S387)</x:f>
        <x:v>1</x:v>
      </x:c>
      <x:c r="U387" s="12" t="str">
        <x:f>IF(T387=1,"OK","DUPLICATE")</x:f>
        <x:v>OK</x:v>
      </x:c>
    </x:row>
    <x:row r="388" ht="39.599998474121094" hidden="0" customHeight="1">
      <x:c r="A388" s="12" t="str">
        <x:v>Lantern Gong (Hunt Phase)</x:v>
      </x:c>
      <x:c r="B388" s="12" t="str">
        <x:v>LANTERN GONG (HUNT PHASE)</x:v>
      </x:c>
      <x:c r="C388" s="12" t="str">
        <x:v>tool</x:v>
      </x:c>
      <x:c r="D388" s="12" t="str">
        <x:v>consumable</x:v>
      </x:c>
      <x:c r="E388" s="12" t="str">
        <x:v>early</x:v>
      </x:c>
      <x:c r="F388" s="12" t="str">
        <x:v>uncommon</x:v>
      </x:c>
      <x:c r="G388" s="12" t="str">
        <x:v>Lantern Gong (Hunt Phase) — Use</x:v>
      </x:c>
      <x:c r="H388" s="34" t="n">
        <x:v>0</x:v>
      </x:c>
      <x:c r="I388" s="34" t="str">
        <x:v>skill</x:v>
      </x:c>
      <x:c r="J388" s="34" t="str"/>
      <x:c r="K388" s="34" t="str"/>
      <x:c r="L388" s="34" t="str"/>
      <x:c r="M388" s="12" t="str">
        <x:v>Blind 2</x:v>
      </x:c>
      <x:c r="N388" s="12" t="str">
        <x:v>Tool, Survival, Retreat</x:v>
      </x:c>
      <x:c r="O388" s="12" t="str">
        <x:v>Gain +3 to the next harvest, retreat, or weak-point test. If it fails, apply Blind 2 to the quarry or clear it from a survivor.</x:v>
      </x:c>
      <x:c r="P388" s="12" t="str">
        <x:v>Gain +3 to the next harvest, retreat, or weak-point test linked to Hunting Hall. On failure, either apply Blind 2 to the quarry or clear that status from a survivor. If you deal no HP damage, gain +2 break damage.</x:v>
      </x:c>
      <x:c r="Q388" s="12" t="str"/>
      <x:c r="R388" s="12" t="str">
        <x:v>quirk: careful</x:v>
      </x:c>
      <x:c r="S388" s="12" t="str">
        <x:v>e6ec13d8723e</x:v>
      </x:c>
      <x:c r="T388" s="12" t="n">
        <x:f>COUNTIF($S$2:$S$757,S388)</x:f>
        <x:v>1</x:v>
      </x:c>
      <x:c r="U388" s="12" t="str">
        <x:f>IF(T388=1,"OK","DUPLICATE")</x:f>
        <x:v>OK</x:v>
      </x:c>
    </x:row>
    <x:row r="389" ht="39.599998474121094" hidden="0" customHeight="1">
      <x:c r="A389" s="12" t="str">
        <x:v>Lantern Gong (Hunt Phase)</x:v>
      </x:c>
      <x:c r="B389" s="12" t="str">
        <x:v>LANTERN GONG (HUNT PHASE)</x:v>
      </x:c>
      <x:c r="C389" s="12" t="str">
        <x:v>tool</x:v>
      </x:c>
      <x:c r="D389" s="12" t="str">
        <x:v>consumable</x:v>
      </x:c>
      <x:c r="E389" s="12" t="str">
        <x:v>early</x:v>
      </x:c>
      <x:c r="F389" s="12" t="str">
        <x:v>uncommon</x:v>
      </x:c>
      <x:c r="G389" s="12" t="str">
        <x:v>Lantern Gong (Hunt Phase) — Contingency</x:v>
      </x:c>
      <x:c r="H389" s="34" t="n">
        <x:v>0</x:v>
      </x:c>
      <x:c r="I389" s="34" t="str">
        <x:v>reaction</x:v>
      </x:c>
      <x:c r="J389" s="34" t="str"/>
      <x:c r="K389" s="34" t="str"/>
      <x:c r="L389" s="34" t="str"/>
      <x:c r="M389" s="12" t="str"/>
      <x:c r="N389" s="12" t="str">
        <x:v>Tool, Survival, Retreat</x:v>
      </x:c>
      <x:c r="O389" s="12" t="str">
        <x:v>When a hunt or monster consequence is previewed, reduce it by 3; on retreat, preserve 2 gathered resource.</x:v>
      </x:c>
      <x:c r="P389" s="12" t="str">
        <x:v>When a hunt event, retreat roll, or monster consequence is previewed, reduce the penalty by 3. If retreating, preserve 2 gathered resource. If you deal no HP damage, gain +2 break damage.</x:v>
      </x:c>
      <x:c r="Q389" s="12" t="str"/>
      <x:c r="R389" s="12" t="str">
        <x:v>quirk: careful</x:v>
      </x:c>
      <x:c r="S389" s="12" t="str">
        <x:v>bc8f67c7e6f1</x:v>
      </x:c>
      <x:c r="T389" s="12" t="n">
        <x:f>COUNTIF($S$2:$S$757,S389)</x:f>
        <x:v>1</x:v>
      </x:c>
      <x:c r="U389" s="12" t="str">
        <x:f>IF(T389=1,"OK","DUPLICATE")</x:f>
        <x:v>OK</x:v>
      </x:c>
    </x:row>
    <x:row r="390" ht="39.599998474121094" hidden="0" customHeight="1">
      <x:c r="A390" s="12" t="str">
        <x:v>Lantern Gong (Showdown Phase)</x:v>
      </x:c>
      <x:c r="B390" s="12" t="str">
        <x:v>LANTERN GONG (SHOWDOWN PHASE)</x:v>
      </x:c>
      <x:c r="C390" s="12" t="str">
        <x:v>tool</x:v>
      </x:c>
      <x:c r="D390" s="12" t="str">
        <x:v>consumable</x:v>
      </x:c>
      <x:c r="E390" s="12" t="str">
        <x:v>early</x:v>
      </x:c>
      <x:c r="F390" s="12" t="str">
        <x:v>uncommon</x:v>
      </x:c>
      <x:c r="G390" s="12" t="str">
        <x:v>Lantern Gong (Showdown Phase) — Use</x:v>
      </x:c>
      <x:c r="H390" s="34" t="n">
        <x:v>0</x:v>
      </x:c>
      <x:c r="I390" s="34" t="str">
        <x:v>skill</x:v>
      </x:c>
      <x:c r="J390" s="34" t="str"/>
      <x:c r="K390" s="34" t="str"/>
      <x:c r="L390" s="34" t="str"/>
      <x:c r="M390" s="12" t="str">
        <x:v>Stagger 1</x:v>
      </x:c>
      <x:c r="N390" s="12" t="str">
        <x:v>Tool, Survival, Retreat</x:v>
      </x:c>
      <x:c r="O390" s="12" t="str">
        <x:v>Gain +1 to the next harvest, retreat, or weak-point test. If it fails, apply Stagger 1 to the quarry or clear it from a survivor.</x:v>
      </x:c>
      <x:c r="P390" s="12" t="str">
        <x:v>Gain +1 to the next harvest, retreat, or weak-point test linked to Hunting Hall. On failure, either apply Stagger 1 to the quarry or clear that status from a survivor. The quarry targets this survivor next unless another card redirects it.</x:v>
      </x:c>
      <x:c r="Q390" s="12" t="str"/>
      <x:c r="R390" s="12" t="str">
        <x:v>quirk: bait</x:v>
      </x:c>
      <x:c r="S390" s="12" t="str">
        <x:v>990156d6fd6e</x:v>
      </x:c>
      <x:c r="T390" s="12" t="n">
        <x:f>COUNTIF($S$2:$S$757,S390)</x:f>
        <x:v>1</x:v>
      </x:c>
      <x:c r="U390" s="12" t="str">
        <x:f>IF(T390=1,"OK","DUPLICATE")</x:f>
        <x:v>OK</x:v>
      </x:c>
    </x:row>
    <x:row r="391" ht="39.599998474121094" hidden="0" customHeight="1">
      <x:c r="A391" s="12" t="str">
        <x:v>Lantern Gong (Showdown Phase)</x:v>
      </x:c>
      <x:c r="B391" s="12" t="str">
        <x:v>LANTERN GONG (SHOWDOWN PHASE)</x:v>
      </x:c>
      <x:c r="C391" s="12" t="str">
        <x:v>tool</x:v>
      </x:c>
      <x:c r="D391" s="12" t="str">
        <x:v>consumable</x:v>
      </x:c>
      <x:c r="E391" s="12" t="str">
        <x:v>early</x:v>
      </x:c>
      <x:c r="F391" s="12" t="str">
        <x:v>uncommon</x:v>
      </x:c>
      <x:c r="G391" s="12" t="str">
        <x:v>Lantern Gong (Showdown Phase) — Contingency</x:v>
      </x:c>
      <x:c r="H391" s="34" t="n">
        <x:v>1</x:v>
      </x:c>
      <x:c r="I391" s="34" t="str">
        <x:v>reaction</x:v>
      </x:c>
      <x:c r="J391" s="34" t="str"/>
      <x:c r="K391" s="34" t="str"/>
      <x:c r="L391" s="34" t="str"/>
      <x:c r="M391" s="12" t="str"/>
      <x:c r="N391" s="12" t="str">
        <x:v>Tool, Survival, Retreat</x:v>
      </x:c>
      <x:c r="O391" s="12" t="str">
        <x:v>When a hunt or monster consequence is previewed, reduce it by 1; on retreat, preserve 1 gathered resource.</x:v>
      </x:c>
      <x:c r="P391" s="12" t="str">
        <x:v>When a hunt event, retreat roll, or monster consequence is previewed, reduce the penalty by 1. If retreating, preserve 1 gathered resource. The quarry targets this survivor next unless another card redirects it.</x:v>
      </x:c>
      <x:c r="Q391" s="12" t="str"/>
      <x:c r="R391" s="12" t="str">
        <x:v>quirk: bait</x:v>
      </x:c>
      <x:c r="S391" s="12" t="str">
        <x:v>75df19fa2fba</x:v>
      </x:c>
      <x:c r="T391" s="12" t="n">
        <x:f>COUNTIF($S$2:$S$757,S391)</x:f>
        <x:v>1</x:v>
      </x:c>
      <x:c r="U391" s="12" t="str">
        <x:f>IF(T391=1,"OK","DUPLICATE")</x:f>
        <x:v>OK</x:v>
      </x:c>
    </x:row>
    <x:row r="392" ht="39.599998474121094" hidden="0" customHeight="1">
      <x:c r="A392" s="12" t="str">
        <x:v>Lantern Greaves</x:v>
      </x:c>
      <x:c r="B392" s="12" t="str">
        <x:v>LANTERN GREAVES</x:v>
      </x:c>
      <x:c r="C392" s="12" t="str">
        <x:v>legs</x:v>
      </x:c>
      <x:c r="D392" s="12" t="str">
        <x:v>armor</x:v>
      </x:c>
      <x:c r="E392" s="12" t="str">
        <x:v>early</x:v>
      </x:c>
      <x:c r="F392" s="12" t="str">
        <x:v>uncommon</x:v>
      </x:c>
      <x:c r="G392" s="12" t="str">
        <x:v>Lantern Greaves — Brace</x:v>
      </x:c>
      <x:c r="H392" s="34" t="n">
        <x:v>1</x:v>
      </x:c>
      <x:c r="I392" s="34" t="str">
        <x:v>skill</x:v>
      </x:c>
      <x:c r="J392" s="34" t="str"/>
      <x:c r="K392" s="34" t="str"/>
      <x:c r="L392" s="34" t="n">
        <x:v>3</x:v>
      </x:c>
      <x:c r="M392" s="12" t="str"/>
      <x:c r="N392" s="12" t="str">
        <x:v>Defensive, Party, WoundCare</x:v>
      </x:c>
      <x:c r="O392" s="12" t="str">
        <x:v>Gain 3 block and Guarded 2. If hit before your next turn, reduce Exposed or Panic by 1.</x:v>
      </x:c>
      <x:c r="P392" s="12" t="str">
        <x:v>Gain 3 block and Guarded 2. If the next monster hit lands before your next turn, reduce Exposed or Panic by 1 after damage. On a failed harvest, keep one common fallback material.</x:v>
      </x:c>
      <x:c r="Q392" s="12" t="str"/>
      <x:c r="R392" s="12" t="str">
        <x:v>quirk: salvage</x:v>
      </x:c>
      <x:c r="S392" s="12" t="str">
        <x:v>b08a480d3801</x:v>
      </x:c>
      <x:c r="T392" s="12" t="n">
        <x:f>COUNTIF($S$2:$S$757,S392)</x:f>
        <x:v>1</x:v>
      </x:c>
      <x:c r="U392" s="12" t="str">
        <x:f>IF(T392=1,"OK","DUPLICATE")</x:f>
        <x:v>OK</x:v>
      </x:c>
    </x:row>
    <x:row r="393" ht="39.599998474121094" hidden="0" customHeight="1">
      <x:c r="A393" s="12" t="str">
        <x:v>Lantern Greaves</x:v>
      </x:c>
      <x:c r="B393" s="12" t="str">
        <x:v>LANTERN GREAVES</x:v>
      </x:c>
      <x:c r="C393" s="12" t="str">
        <x:v>legs</x:v>
      </x:c>
      <x:c r="D393" s="12" t="str">
        <x:v>armor</x:v>
      </x:c>
      <x:c r="E393" s="12" t="str">
        <x:v>early</x:v>
      </x:c>
      <x:c r="F393" s="12" t="str">
        <x:v>uncommon</x:v>
      </x:c>
      <x:c r="G393" s="12" t="str">
        <x:v>Lantern Greaves — Fitted Plate</x:v>
      </x:c>
      <x:c r="H393" s="34" t="n">
        <x:v>2</x:v>
      </x:c>
      <x:c r="I393" s="34" t="str">
        <x:v>reaction</x:v>
      </x:c>
      <x:c r="J393" s="34" t="str"/>
      <x:c r="K393" s="34" t="str"/>
      <x:c r="L393" s="34" t="n">
        <x:v>6</x:v>
      </x:c>
      <x:c r="M393" s="12" t="str"/>
      <x:c r="N393" s="12" t="str">
        <x:v>Defensive, Party, WoundCare, Reaction</x:v>
      </x:c>
      <x:c r="O393" s="12" t="str">
        <x:v>After damage is previewed, prevent 6 damage. Then give the next ally Guarded 1.</x:v>
      </x:c>
      <x:c r="P393" s="12" t="str">
        <x:v>After incoming damage is previewed, prevent 6 damage with the legs slot. Then the next ally gains Guarded 1. On a failed harvest, keep one common fallback material.</x:v>
      </x:c>
      <x:c r="Q393" s="12" t="str"/>
      <x:c r="R393" s="12" t="str">
        <x:v>quirk: salvage</x:v>
      </x:c>
      <x:c r="S393" s="12" t="str">
        <x:v>72a6485527e2</x:v>
      </x:c>
      <x:c r="T393" s="12" t="n">
        <x:f>COUNTIF($S$2:$S$757,S393)</x:f>
        <x:v>1</x:v>
      </x:c>
      <x:c r="U393" s="12" t="str">
        <x:f>IF(T393=1,"OK","DUPLICATE")</x:f>
        <x:v>OK</x:v>
      </x:c>
    </x:row>
    <x:row r="394" ht="39.599998474121094" hidden="0" customHeight="1">
      <x:c r="A394" s="12" t="str">
        <x:v>Lantern Crown</x:v>
      </x:c>
      <x:c r="B394" s="12" t="str">
        <x:v>LANTERN HELM</x:v>
      </x:c>
      <x:c r="C394" s="12" t="str">
        <x:v>head</x:v>
      </x:c>
      <x:c r="D394" s="12" t="str">
        <x:v>armor</x:v>
      </x:c>
      <x:c r="E394" s="12" t="str">
        <x:v>early</x:v>
      </x:c>
      <x:c r="F394" s="12" t="str">
        <x:v>uncommon</x:v>
      </x:c>
      <x:c r="G394" s="12" t="str">
        <x:v>Lantern Crown — Brace</x:v>
      </x:c>
      <x:c r="H394" s="34" t="n">
        <x:v>1</x:v>
      </x:c>
      <x:c r="I394" s="34" t="str">
        <x:v>skill</x:v>
      </x:c>
      <x:c r="J394" s="34" t="str"/>
      <x:c r="K394" s="34" t="str"/>
      <x:c r="L394" s="34" t="n">
        <x:v>4</x:v>
      </x:c>
      <x:c r="M394" s="12" t="str"/>
      <x:c r="N394" s="12" t="str">
        <x:v>Defensive, Party, WoundCare</x:v>
      </x:c>
      <x:c r="O394" s="12" t="str">
        <x:v>Gain 4 block and Guarded 3. If hit before your next turn, reduce Marked or Panic by 1.</x:v>
      </x:c>
      <x:c r="P394" s="12" t="str">
        <x:v>Gain 4 block and Guarded 3. If the next monster hit lands before your next turn, reduce Marked or Panic by 1 after damage. If this is the only card you play this turn, gain +2 block.</x:v>
      </x:c>
      <x:c r="Q394" s="12" t="str"/>
      <x:c r="R394" s="12" t="str">
        <x:v>quirk: stance</x:v>
      </x:c>
      <x:c r="S394" s="12" t="str">
        <x:v>8a74b121bc65</x:v>
      </x:c>
      <x:c r="T394" s="12" t="n">
        <x:f>COUNTIF($S$2:$S$757,S394)</x:f>
        <x:v>1</x:v>
      </x:c>
      <x:c r="U394" s="12" t="str">
        <x:f>IF(T394=1,"OK","DUPLICATE")</x:f>
        <x:v>OK</x:v>
      </x:c>
    </x:row>
    <x:row r="395" ht="39.599998474121094" hidden="0" customHeight="1">
      <x:c r="A395" s="12" t="str">
        <x:v>Lantern Crown</x:v>
      </x:c>
      <x:c r="B395" s="12" t="str">
        <x:v>LANTERN HELM</x:v>
      </x:c>
      <x:c r="C395" s="12" t="str">
        <x:v>head</x:v>
      </x:c>
      <x:c r="D395" s="12" t="str">
        <x:v>armor</x:v>
      </x:c>
      <x:c r="E395" s="12" t="str">
        <x:v>early</x:v>
      </x:c>
      <x:c r="F395" s="12" t="str">
        <x:v>uncommon</x:v>
      </x:c>
      <x:c r="G395" s="12" t="str">
        <x:v>Lantern Crown — Fitted Plate</x:v>
      </x:c>
      <x:c r="H395" s="34" t="n">
        <x:v>1</x:v>
      </x:c>
      <x:c r="I395" s="34" t="str">
        <x:v>reaction</x:v>
      </x:c>
      <x:c r="J395" s="34" t="str"/>
      <x:c r="K395" s="34" t="str"/>
      <x:c r="L395" s="34" t="n">
        <x:v>7</x:v>
      </x:c>
      <x:c r="M395" s="12" t="str"/>
      <x:c r="N395" s="12" t="str">
        <x:v>Defensive, Party, WoundCare, Reaction</x:v>
      </x:c>
      <x:c r="O395" s="12" t="str">
        <x:v>After damage is previewed, prevent 7 damage. Then give the next ally Guarded 1.</x:v>
      </x:c>
      <x:c r="P395" s="12" t="str">
        <x:v>After incoming damage is previewed, prevent 7 damage with the head slot. Then the next ally gains Guarded 1. If this is the only card you play this turn, gain +2 block.</x:v>
      </x:c>
      <x:c r="Q395" s="12" t="str"/>
      <x:c r="R395" s="12" t="str">
        <x:v>quirk: stance</x:v>
      </x:c>
      <x:c r="S395" s="12" t="str">
        <x:v>ef9ca2e37087</x:v>
      </x:c>
      <x:c r="T395" s="12" t="n">
        <x:f>COUNTIF($S$2:$S$757,S395)</x:f>
        <x:v>1</x:v>
      </x:c>
      <x:c r="U395" s="12" t="str">
        <x:f>IF(T395=1,"OK","DUPLICATE")</x:f>
        <x:v>OK</x:v>
      </x:c>
    </x:row>
    <x:row r="396" ht="39.599998474121094" hidden="0" customHeight="1">
      <x:c r="A396" s="12" t="str">
        <x:v>Lantern Mail</x:v>
      </x:c>
      <x:c r="B396" s="12" t="str">
        <x:v>LANTERN MAIL</x:v>
      </x:c>
      <x:c r="C396" s="12" t="str">
        <x:v>waist</x:v>
      </x:c>
      <x:c r="D396" s="12" t="str">
        <x:v>armor</x:v>
      </x:c>
      <x:c r="E396" s="12" t="str">
        <x:v>early</x:v>
      </x:c>
      <x:c r="F396" s="12" t="str">
        <x:v>uncommon</x:v>
      </x:c>
      <x:c r="G396" s="12" t="str">
        <x:v>Lantern Mail — Brace</x:v>
      </x:c>
      <x:c r="H396" s="34" t="n">
        <x:v>1</x:v>
      </x:c>
      <x:c r="I396" s="34" t="str">
        <x:v>skill</x:v>
      </x:c>
      <x:c r="J396" s="34" t="str"/>
      <x:c r="K396" s="34" t="str"/>
      <x:c r="L396" s="34" t="n">
        <x:v>5</x:v>
      </x:c>
      <x:c r="M396" s="12" t="str"/>
      <x:c r="N396" s="12" t="str">
        <x:v>Defensive, Party, WoundCare</x:v>
      </x:c>
      <x:c r="O396" s="12" t="str">
        <x:v>Gain 5 block and Guarded 1. If hit before your next turn, reduce Bleed or Panic by 1.</x:v>
      </x:c>
      <x:c r="P396" s="12" t="str">
        <x:v>Gain 5 block and Guarded 1. If the next monster hit lands before your next turn, reduce Bleed or Panic by 1 after damage. If played after blocking, your next Counter gains +2 damage.</x:v>
      </x:c>
      <x:c r="Q396" s="12" t="str"/>
      <x:c r="R396" s="12" t="str">
        <x:v>quirk: counterReady</x:v>
      </x:c>
      <x:c r="S396" s="12" t="str">
        <x:v>9cd0bcb76c2b</x:v>
      </x:c>
      <x:c r="T396" s="12" t="n">
        <x:f>COUNTIF($S$2:$S$757,S396)</x:f>
        <x:v>1</x:v>
      </x:c>
      <x:c r="U396" s="12" t="str">
        <x:f>IF(T396=1,"OK","DUPLICATE")</x:f>
        <x:v>OK</x:v>
      </x:c>
    </x:row>
    <x:row r="397" ht="39.599998474121094" hidden="0" customHeight="1">
      <x:c r="A397" s="12" t="str">
        <x:v>Lantern Mail</x:v>
      </x:c>
      <x:c r="B397" s="12" t="str">
        <x:v>LANTERN MAIL</x:v>
      </x:c>
      <x:c r="C397" s="12" t="str">
        <x:v>waist</x:v>
      </x:c>
      <x:c r="D397" s="12" t="str">
        <x:v>armor</x:v>
      </x:c>
      <x:c r="E397" s="12" t="str">
        <x:v>early</x:v>
      </x:c>
      <x:c r="F397" s="12" t="str">
        <x:v>uncommon</x:v>
      </x:c>
      <x:c r="G397" s="12" t="str">
        <x:v>Lantern Mail — Fitted Plate</x:v>
      </x:c>
      <x:c r="H397" s="34" t="n">
        <x:v>2</x:v>
      </x:c>
      <x:c r="I397" s="34" t="str">
        <x:v>reaction</x:v>
      </x:c>
      <x:c r="J397" s="34" t="str"/>
      <x:c r="K397" s="34" t="str"/>
      <x:c r="L397" s="34" t="n">
        <x:v>6</x:v>
      </x:c>
      <x:c r="M397" s="12" t="str"/>
      <x:c r="N397" s="12" t="str">
        <x:v>Defensive, Party, WoundCare, Reaction</x:v>
      </x:c>
      <x:c r="O397" s="12" t="str">
        <x:v>After damage is previewed, prevent 6 damage. Then give the next ally Guarded 1.</x:v>
      </x:c>
      <x:c r="P397" s="12" t="str">
        <x:v>After incoming damage is previewed, prevent 6 damage with the waist slot. Then the next ally gains Guarded 1. If played after blocking, your next Counter gains +2 damage.</x:v>
      </x:c>
      <x:c r="Q397" s="12" t="str"/>
      <x:c r="R397" s="12" t="str">
        <x:v>quirk: counterReady</x:v>
      </x:c>
      <x:c r="S397" s="12" t="str">
        <x:v>3950bd7b3ac2</x:v>
      </x:c>
      <x:c r="T397" s="12" t="n">
        <x:f>COUNTIF($S$2:$S$757,S397)</x:f>
        <x:v>1</x:v>
      </x:c>
      <x:c r="U397" s="12" t="str">
        <x:f>IF(T397=1,"OK","DUPLICATE")</x:f>
        <x:v>OK</x:v>
      </x:c>
    </x:row>
    <x:row r="398" ht="39.599998474121094" hidden="0" customHeight="1">
      <x:c r="A398" s="12" t="str">
        <x:v>Lantern Blade</x:v>
      </x:c>
      <x:c r="B398" s="12" t="str">
        <x:v>LANTERN SWORD</x:v>
      </x:c>
      <x:c r="C398" s="12" t="str">
        <x:v>weapon</x:v>
      </x:c>
      <x:c r="D398" s="12" t="str">
        <x:v>sword</x:v>
      </x:c>
      <x:c r="E398" s="12" t="str">
        <x:v>early</x:v>
      </x:c>
      <x:c r="F398" s="12" t="str">
        <x:v>uncommon</x:v>
      </x:c>
      <x:c r="G398" s="12" t="str">
        <x:v>Lantern Blade — Opening Cut</x:v>
      </x:c>
      <x:c r="H398" s="34" t="n">
        <x:v>1</x:v>
      </x:c>
      <x:c r="I398" s="34" t="str">
        <x:v>attack</x:v>
      </x:c>
      <x:c r="J398" s="34" t="n">
        <x:v>3</x:v>
      </x:c>
      <x:c r="K398" s="34" t="n">
        <x:v>2</x:v>
      </x:c>
      <x:c r="L398" s="34" t="str"/>
      <x:c r="M398" s="12" t="str">
        <x:v>Burn 2 | Target: Settlement</x:v>
      </x:c>
      <x:c r="N398" s="12" t="str">
        <x:v>Precise, Marking, Counter, Attack</x:v>
      </x:c>
      <x:c r="O398" s="12" t="str">
        <x:v>Deal 3 damage. Apply Burn 2 if the target has a Settlement weak point, otherwise gain Marked 1.</x:v>
      </x:c>
      <x:c r="P398" s="12" t="str">
        <x:v>Deal 3 damage with Lantern Blade. Apply Burn 2 against a matching Settlement weak point; otherwise apply Marked 1. On a failed harvest, keep one common fallback material.</x:v>
      </x:c>
      <x:c r="Q398" s="12" t="str"/>
      <x:c r="R398" s="12" t="str">
        <x:v>quirk: salvage</x:v>
      </x:c>
      <x:c r="S398" s="12" t="str">
        <x:v>c4e3f79f1e45</x:v>
      </x:c>
      <x:c r="T398" s="12" t="n">
        <x:f>COUNTIF($S$2:$S$757,S398)</x:f>
        <x:v>1</x:v>
      </x:c>
      <x:c r="U398" s="12" t="str">
        <x:f>IF(T398=1,"OK","DUPLICATE")</x:f>
        <x:v>OK</x:v>
      </x:c>
    </x:row>
    <x:row r="399" ht="39.599998474121094" hidden="0" customHeight="1">
      <x:c r="A399" s="12" t="str">
        <x:v>Lantern Blade</x:v>
      </x:c>
      <x:c r="B399" s="12" t="str">
        <x:v>LANTERN SWORD</x:v>
      </x:c>
      <x:c r="C399" s="12" t="str">
        <x:v>weapon</x:v>
      </x:c>
      <x:c r="D399" s="12" t="str">
        <x:v>sword</x:v>
      </x:c>
      <x:c r="E399" s="12" t="str">
        <x:v>early</x:v>
      </x:c>
      <x:c r="F399" s="12" t="str">
        <x:v>uncommon</x:v>
      </x:c>
      <x:c r="G399" s="12" t="str">
        <x:v>Lantern Blade — Technique</x:v>
      </x:c>
      <x:c r="H399" s="34" t="n">
        <x:v>1</x:v>
      </x:c>
      <x:c r="I399" s="34" t="str">
        <x:v>skill</x:v>
      </x:c>
      <x:c r="J399" s="34" t="str"/>
      <x:c r="K399" s="34" t="str"/>
      <x:c r="L399" s="34" t="n">
        <x:v>2</x:v>
      </x:c>
      <x:c r="M399" s="12" t="str">
        <x:v>Opens: True</x:v>
      </x:c>
      <x:c r="N399" s="12" t="str">
        <x:v>Precise, Marking, Counter, Setup</x:v>
      </x:c>
      <x:c r="O399" s="12" t="str">
        <x:v>Set a parry line; your next Counter with this equipment costs 0 if it is the first Counter this battle. Also gain 2 block.</x:v>
      </x:c>
      <x:c r="P399" s="12" t="str">
        <x:v>Set a parry line; your next Counter with this equipment costs 0 if it is the first Counter this battle. Gain 2 block. On a failed harvest, keep one common fallback material.</x:v>
      </x:c>
      <x:c r="Q399" s="12" t="str">
        <x:v>YES</x:v>
      </x:c>
      <x:c r="R399" s="12" t="str">
        <x:v>quirk: salvage</x:v>
      </x:c>
      <x:c r="S399" s="12" t="str">
        <x:v>f6d384c48178</x:v>
      </x:c>
      <x:c r="T399" s="12" t="n">
        <x:f>COUNTIF($S$2:$S$757,S399)</x:f>
        <x:v>1</x:v>
      </x:c>
      <x:c r="U399" s="12" t="str">
        <x:f>IF(T399=1,"OK","DUPLICATE")</x:f>
        <x:v>OK</x:v>
      </x:c>
    </x:row>
    <x:row r="400" ht="26.399999618530273" hidden="0" customHeight="1">
      <x:c r="A400" s="12" t="str">
        <x:v>Lantern Blade</x:v>
      </x:c>
      <x:c r="B400" s="12" t="str">
        <x:v>LANTERN SWORD</x:v>
      </x:c>
      <x:c r="C400" s="12" t="str">
        <x:v>weapon</x:v>
      </x:c>
      <x:c r="D400" s="12" t="str">
        <x:v>sword</x:v>
      </x:c>
      <x:c r="E400" s="12" t="str">
        <x:v>early</x:v>
      </x:c>
      <x:c r="F400" s="12" t="str">
        <x:v>uncommon</x:v>
      </x:c>
      <x:c r="G400" s="12" t="str">
        <x:v>Lantern Blade — Payoff</x:v>
      </x:c>
      <x:c r="H400" s="34" t="n">
        <x:v>2</x:v>
      </x:c>
      <x:c r="I400" s="34" t="str">
        <x:v>reaction</x:v>
      </x:c>
      <x:c r="J400" s="34" t="n">
        <x:v>5</x:v>
      </x:c>
      <x:c r="K400" s="34" t="n">
        <x:v>3</x:v>
      </x:c>
      <x:c r="L400" s="34" t="str"/>
      <x:c r="M400" s="12" t="str">
        <x:v>Burn 1</x:v>
      </x:c>
      <x:c r="N400" s="12" t="str">
        <x:v>Precise, Marking, Counter, Payoff, WeakPoint</x:v>
      </x:c>
      <x:c r="O400" s="12" t="str">
        <x:v>Deal 5 damage and 3 break damage. If this breaks a weak point, resolve Burn 1 and the salvage rider.</x:v>
      </x:c>
      <x:c r="P400" s="12" t="str">
        <x:v>Deal 5 damage and 3 break damage. If the weak point breaks, apply Burn 1 and resolve: On a failed harvest, keep one common fallback material.</x:v>
      </x:c>
      <x:c r="Q400" s="12" t="str">
        <x:v>YES</x:v>
      </x:c>
      <x:c r="R400" s="12" t="str">
        <x:v>quirk: salvage | countsAsCounter True, firstCounterFree True</x:v>
      </x:c>
      <x:c r="S400" s="12" t="str">
        <x:v>bc8dc7f09ae7</x:v>
      </x:c>
      <x:c r="T400" s="12" t="n">
        <x:f>COUNTIF($S$2:$S$757,S400)</x:f>
        <x:v>1</x:v>
      </x:c>
      <x:c r="U400" s="12" t="str">
        <x:f>IF(T400=1,"OK","DUPLICATE")</x:f>
        <x:v>OK</x:v>
      </x:c>
    </x:row>
    <x:row r="401" ht="39.599998474121094" hidden="0" customHeight="1">
      <x:c r="A401" s="12" t="str">
        <x:v>Hide Armor Set</x:v>
      </x:c>
      <x:c r="B401" s="12" t="str">
        <x:v>LEATHER ARMOR SET</x:v>
      </x:c>
      <x:c r="C401" s="12" t="str">
        <x:v>set</x:v>
      </x:c>
      <x:c r="D401" s="12" t="str">
        <x:v>armor</x:v>
      </x:c>
      <x:c r="E401" s="12" t="str">
        <x:v>early</x:v>
      </x:c>
      <x:c r="F401" s="12" t="str">
        <x:v>uncommon</x:v>
      </x:c>
      <x:c r="G401" s="12" t="str">
        <x:v>Hide Armor Set — Brace</x:v>
      </x:c>
      <x:c r="H401" s="34" t="n">
        <x:v>1</x:v>
      </x:c>
      <x:c r="I401" s="34" t="str">
        <x:v>skill</x:v>
      </x:c>
      <x:c r="J401" s="34" t="str"/>
      <x:c r="K401" s="34" t="str"/>
      <x:c r="L401" s="34" t="n">
        <x:v>3</x:v>
      </x:c>
      <x:c r="M401" s="12" t="str"/>
      <x:c r="N401" s="12" t="str">
        <x:v>Defensive, Party, WoundCare</x:v>
      </x:c>
      <x:c r="O401" s="12" t="str">
        <x:v>Gain 3 block and Guarded 3. If hit before your next turn, reduce Poison or Panic by 1.</x:v>
      </x:c>
      <x:c r="P401" s="12" t="str">
        <x:v>Gain 3 block and Guarded 3. If the next monster hit lands before your next turn, reduce Poison or Panic by 1 after damage. If you deal no HP damage, gain +2 break damage.</x:v>
      </x:c>
      <x:c r="Q401" s="12" t="str"/>
      <x:c r="R401" s="12" t="str">
        <x:v>quirk: careful</x:v>
      </x:c>
      <x:c r="S401" s="12" t="str">
        <x:v>44c9f369097c</x:v>
      </x:c>
      <x:c r="T401" s="12" t="n">
        <x:f>COUNTIF($S$2:$S$757,S401)</x:f>
        <x:v>1</x:v>
      </x:c>
      <x:c r="U401" s="12" t="str">
        <x:f>IF(T401=1,"OK","DUPLICATE")</x:f>
        <x:v>OK</x:v>
      </x:c>
    </x:row>
    <x:row r="402" ht="26.399999618530273" hidden="0" customHeight="1">
      <x:c r="A402" s="12" t="str">
        <x:v>Hide Armor Set</x:v>
      </x:c>
      <x:c r="B402" s="12" t="str">
        <x:v>LEATHER ARMOR SET</x:v>
      </x:c>
      <x:c r="C402" s="12" t="str">
        <x:v>set</x:v>
      </x:c>
      <x:c r="D402" s="12" t="str">
        <x:v>armor</x:v>
      </x:c>
      <x:c r="E402" s="12" t="str">
        <x:v>early</x:v>
      </x:c>
      <x:c r="F402" s="12" t="str">
        <x:v>uncommon</x:v>
      </x:c>
      <x:c r="G402" s="12" t="str">
        <x:v>Hide Armor Set — Setline</x:v>
      </x:c>
      <x:c r="H402" s="34" t="n">
        <x:v>2</x:v>
      </x:c>
      <x:c r="I402" s="34" t="str">
        <x:v>reaction</x:v>
      </x:c>
      <x:c r="J402" s="34" t="str"/>
      <x:c r="K402" s="34" t="str"/>
      <x:c r="L402" s="34" t="n">
        <x:v>6</x:v>
      </x:c>
      <x:c r="M402" s="12" t="str"/>
      <x:c r="N402" s="12" t="str">
        <x:v>Defensive, Party, WoundCare, Reaction</x:v>
      </x:c>
      <x:c r="O402" s="12" t="str">
        <x:v>After damage is previewed, prevent 6 damage. Then give the next ally Guarded 1.</x:v>
      </x:c>
      <x:c r="P402" s="12" t="str">
        <x:v>After incoming damage is previewed, prevent 6 damage with the set slot. Then the next ally gains Guarded 1. If you deal no HP damage, gain +2 break damage.</x:v>
      </x:c>
      <x:c r="Q402" s="12" t="str"/>
      <x:c r="R402" s="12" t="str">
        <x:v>quirk: careful</x:v>
      </x:c>
      <x:c r="S402" s="12" t="str">
        <x:v>514058612cb9</x:v>
      </x:c>
      <x:c r="T402" s="12" t="n">
        <x:f>COUNTIF($S$2:$S$757,S402)</x:f>
        <x:v>1</x:v>
      </x:c>
      <x:c r="U402" s="12" t="str">
        <x:f>IF(T402=1,"OK","DUPLICATE")</x:f>
        <x:v>OK</x:v>
      </x:c>
    </x:row>
    <x:row r="403" ht="39.599998474121094" hidden="0" customHeight="1">
      <x:c r="A403" s="12" t="str">
        <x:v>Hide Treads</x:v>
      </x:c>
      <x:c r="B403" s="12" t="str">
        <x:v>LEATHER BOOTS</x:v>
      </x:c>
      <x:c r="C403" s="12" t="str">
        <x:v>legs</x:v>
      </x:c>
      <x:c r="D403" s="12" t="str">
        <x:v>armor</x:v>
      </x:c>
      <x:c r="E403" s="12" t="str">
        <x:v>early</x:v>
      </x:c>
      <x:c r="F403" s="12" t="str">
        <x:v>common</x:v>
      </x:c>
      <x:c r="G403" s="12" t="str">
        <x:v>Hide Treads — Brace</x:v>
      </x:c>
      <x:c r="H403" s="34" t="n">
        <x:v>1</x:v>
      </x:c>
      <x:c r="I403" s="34" t="str">
        <x:v>skill</x:v>
      </x:c>
      <x:c r="J403" s="34" t="str"/>
      <x:c r="K403" s="34" t="str"/>
      <x:c r="L403" s="34" t="n">
        <x:v>4</x:v>
      </x:c>
      <x:c r="M403" s="12" t="str"/>
      <x:c r="N403" s="12" t="str">
        <x:v>Defensive, Party, WoundCare</x:v>
      </x:c>
      <x:c r="O403" s="12" t="str">
        <x:v>Gain 4 block and Guarded 1. If hit before your next turn, reduce Snared or Panic by 1.</x:v>
      </x:c>
      <x:c r="P403" s="12" t="str">
        <x:v>Gain 4 block and Guarded 1. If the next monster hit lands before your next turn, reduce Snared or Panic by 1 after damage. The quarry targets this survivor next unless another card redirects it.</x:v>
      </x:c>
      <x:c r="Q403" s="12" t="str"/>
      <x:c r="R403" s="12" t="str">
        <x:v>quirk: bait</x:v>
      </x:c>
      <x:c r="S403" s="12" t="str">
        <x:v>d1926ce7724e</x:v>
      </x:c>
      <x:c r="T403" s="12" t="n">
        <x:f>COUNTIF($S$2:$S$757,S403)</x:f>
        <x:v>1</x:v>
      </x:c>
      <x:c r="U403" s="12" t="str">
        <x:f>IF(T403=1,"OK","DUPLICATE")</x:f>
        <x:v>OK</x:v>
      </x:c>
    </x:row>
    <x:row r="404" ht="39.599998474121094" hidden="0" customHeight="1">
      <x:c r="A404" s="12" t="str">
        <x:v>Hide Treads</x:v>
      </x:c>
      <x:c r="B404" s="12" t="str">
        <x:v>LEATHER BOOTS</x:v>
      </x:c>
      <x:c r="C404" s="12" t="str">
        <x:v>legs</x:v>
      </x:c>
      <x:c r="D404" s="12" t="str">
        <x:v>armor</x:v>
      </x:c>
      <x:c r="E404" s="12" t="str">
        <x:v>early</x:v>
      </x:c>
      <x:c r="F404" s="12" t="str">
        <x:v>common</x:v>
      </x:c>
      <x:c r="G404" s="12" t="str">
        <x:v>Hide Treads — Fitted Plate</x:v>
      </x:c>
      <x:c r="H404" s="34" t="n">
        <x:v>1</x:v>
      </x:c>
      <x:c r="I404" s="34" t="str">
        <x:v>reaction</x:v>
      </x:c>
      <x:c r="J404" s="34" t="str"/>
      <x:c r="K404" s="34" t="str"/>
      <x:c r="L404" s="34" t="n">
        <x:v>5</x:v>
      </x:c>
      <x:c r="M404" s="12" t="str"/>
      <x:c r="N404" s="12" t="str">
        <x:v>Defensive, Party, WoundCare, Reaction</x:v>
      </x:c>
      <x:c r="O404" s="12" t="str">
        <x:v>After damage is previewed, prevent 5 damage. Then give the next ally Guarded 1.</x:v>
      </x:c>
      <x:c r="P404" s="12" t="str">
        <x:v>After incoming damage is previewed, prevent 5 damage with the legs slot. Then the next ally gains Guarded 1. The quarry targets this survivor next unless another card redirects it.</x:v>
      </x:c>
      <x:c r="Q404" s="12" t="str"/>
      <x:c r="R404" s="12" t="str">
        <x:v>quirk: bait</x:v>
      </x:c>
      <x:c r="S404" s="12" t="str">
        <x:v>49895caeb691</x:v>
      </x:c>
      <x:c r="T404" s="12" t="n">
        <x:f>COUNTIF($S$2:$S$757,S404)</x:f>
        <x:v>1</x:v>
      </x:c>
      <x:c r="U404" s="12" t="str">
        <x:f>IF(T404=1,"OK","DUPLICATE")</x:f>
        <x:v>OK</x:v>
      </x:c>
    </x:row>
    <x:row r="405" ht="39.599998474121094" hidden="0" customHeight="1">
      <x:c r="A405" s="12" t="str">
        <x:v>Hide Bracers</x:v>
      </x:c>
      <x:c r="B405" s="12" t="str">
        <x:v>LEATHER BRACERS</x:v>
      </x:c>
      <x:c r="C405" s="12" t="str">
        <x:v>arms</x:v>
      </x:c>
      <x:c r="D405" s="12" t="str">
        <x:v>armor</x:v>
      </x:c>
      <x:c r="E405" s="12" t="str">
        <x:v>early</x:v>
      </x:c>
      <x:c r="F405" s="12" t="str">
        <x:v>common</x:v>
      </x:c>
      <x:c r="G405" s="12" t="str">
        <x:v>Hide Bracers — Brace</x:v>
      </x:c>
      <x:c r="H405" s="34" t="n">
        <x:v>1</x:v>
      </x:c>
      <x:c r="I405" s="34" t="str">
        <x:v>skill</x:v>
      </x:c>
      <x:c r="J405" s="34" t="str"/>
      <x:c r="K405" s="34" t="str"/>
      <x:c r="L405" s="34" t="n">
        <x:v>5</x:v>
      </x:c>
      <x:c r="M405" s="12" t="str"/>
      <x:c r="N405" s="12" t="str">
        <x:v>Defensive, Party, WoundCare</x:v>
      </x:c>
      <x:c r="O405" s="12" t="str">
        <x:v>Gain 5 block and Guarded 2. If hit before your next turn, reduce Shock or Panic by 1.</x:v>
      </x:c>
      <x:c r="P405" s="12" t="str">
        <x:v>Gain 5 block and Guarded 2. If the next monster hit lands before your next turn, reduce Shock or Panic by 1 after damage. If you have no Bleed, Poison or Burn, add +1 to all listed values.</x:v>
      </x:c>
      <x:c r="Q405" s="12" t="str"/>
      <x:c r="R405" s="12" t="str">
        <x:v>quirk: cleanHands</x:v>
      </x:c>
      <x:c r="S405" s="12" t="str">
        <x:v>300d824a3cf3</x:v>
      </x:c>
      <x:c r="T405" s="12" t="n">
        <x:f>COUNTIF($S$2:$S$757,S405)</x:f>
        <x:v>1</x:v>
      </x:c>
      <x:c r="U405" s="12" t="str">
        <x:f>IF(T405=1,"OK","DUPLICATE")</x:f>
        <x:v>OK</x:v>
      </x:c>
    </x:row>
    <x:row r="406" ht="39.599998474121094" hidden="0" customHeight="1">
      <x:c r="A406" s="12" t="str">
        <x:v>Hide Bracers</x:v>
      </x:c>
      <x:c r="B406" s="12" t="str">
        <x:v>LEATHER BRACERS</x:v>
      </x:c>
      <x:c r="C406" s="12" t="str">
        <x:v>arms</x:v>
      </x:c>
      <x:c r="D406" s="12" t="str">
        <x:v>armor</x:v>
      </x:c>
      <x:c r="E406" s="12" t="str">
        <x:v>early</x:v>
      </x:c>
      <x:c r="F406" s="12" t="str">
        <x:v>common</x:v>
      </x:c>
      <x:c r="G406" s="12" t="str">
        <x:v>Hide Bracers — Fitted Plate</x:v>
      </x:c>
      <x:c r="H406" s="34" t="n">
        <x:v>2</x:v>
      </x:c>
      <x:c r="I406" s="34" t="str">
        <x:v>reaction</x:v>
      </x:c>
      <x:c r="J406" s="34" t="str"/>
      <x:c r="K406" s="34" t="str"/>
      <x:c r="L406" s="34" t="n">
        <x:v>7</x:v>
      </x:c>
      <x:c r="M406" s="12" t="str"/>
      <x:c r="N406" s="12" t="str">
        <x:v>Defensive, Party, WoundCare, Reaction</x:v>
      </x:c>
      <x:c r="O406" s="12" t="str">
        <x:v>After damage is previewed, prevent 7 damage. Then give the next ally Guarded 1.</x:v>
      </x:c>
      <x:c r="P406" s="12" t="str">
        <x:v>After incoming damage is previewed, prevent 7 damage with the arms slot. Then the next ally gains Guarded 1. If you have no Bleed, Poison or Burn, add +1 to all listed values.</x:v>
      </x:c>
      <x:c r="Q406" s="12" t="str"/>
      <x:c r="R406" s="12" t="str">
        <x:v>quirk: cleanHands</x:v>
      </x:c>
      <x:c r="S406" s="12" t="str">
        <x:v>831e00c3aabf</x:v>
      </x:c>
      <x:c r="T406" s="12" t="n">
        <x:f>COUNTIF($S$2:$S$757,S406)</x:f>
        <x:v>1</x:v>
      </x:c>
      <x:c r="U406" s="12" t="str">
        <x:f>IF(T406=1,"OK","DUPLICATE")</x:f>
        <x:v>OK</x:v>
      </x:c>
    </x:row>
    <x:row r="407" ht="39.599998474121094" hidden="0" customHeight="1">
      <x:c r="A407" s="12" t="str">
        <x:v>Hide Cuirass</x:v>
      </x:c>
      <x:c r="B407" s="12" t="str">
        <x:v>LEATHER CUIRASS</x:v>
      </x:c>
      <x:c r="C407" s="12" t="str">
        <x:v>body</x:v>
      </x:c>
      <x:c r="D407" s="12" t="str">
        <x:v>armor</x:v>
      </x:c>
      <x:c r="E407" s="12" t="str">
        <x:v>early</x:v>
      </x:c>
      <x:c r="F407" s="12" t="str">
        <x:v>common</x:v>
      </x:c>
      <x:c r="G407" s="12" t="str">
        <x:v>Hide Cuirass — Brace</x:v>
      </x:c>
      <x:c r="H407" s="34" t="n">
        <x:v>1</x:v>
      </x:c>
      <x:c r="I407" s="34" t="str">
        <x:v>skill</x:v>
      </x:c>
      <x:c r="J407" s="34" t="str"/>
      <x:c r="K407" s="34" t="str"/>
      <x:c r="L407" s="34" t="n">
        <x:v>2</x:v>
      </x:c>
      <x:c r="M407" s="12" t="str"/>
      <x:c r="N407" s="12" t="str">
        <x:v>Defensive, Party, WoundCare</x:v>
      </x:c>
      <x:c r="O407" s="12" t="str">
        <x:v>Gain 2 block and Guarded 3. If hit before your next turn, reduce Blind or Panic by 1.</x:v>
      </x:c>
      <x:c r="P407" s="12" t="str">
        <x:v>Gain 2 block and Guarded 3. If the next monster hit lands before your next turn, reduce Blind or Panic by 1 after damage. If this would drop you to 0 HP, resolve the card first, then die if still at 0 HP.</x:v>
      </x:c>
      <x:c r="Q407" s="12" t="str"/>
      <x:c r="R407" s="12" t="str">
        <x:v>quirk: lastLight</x:v>
      </x:c>
      <x:c r="S407" s="12" t="str">
        <x:v>67425ce0a124</x:v>
      </x:c>
      <x:c r="T407" s="12" t="n">
        <x:f>COUNTIF($S$2:$S$757,S407)</x:f>
        <x:v>1</x:v>
      </x:c>
      <x:c r="U407" s="12" t="str">
        <x:f>IF(T407=1,"OK","DUPLICATE")</x:f>
        <x:v>OK</x:v>
      </x:c>
    </x:row>
    <x:row r="408" ht="39.599998474121094" hidden="0" customHeight="1">
      <x:c r="A408" s="12" t="str">
        <x:v>Hide Cuirass</x:v>
      </x:c>
      <x:c r="B408" s="12" t="str">
        <x:v>LEATHER CUIRASS</x:v>
      </x:c>
      <x:c r="C408" s="12" t="str">
        <x:v>body</x:v>
      </x:c>
      <x:c r="D408" s="12" t="str">
        <x:v>armor</x:v>
      </x:c>
      <x:c r="E408" s="12" t="str">
        <x:v>early</x:v>
      </x:c>
      <x:c r="F408" s="12" t="str">
        <x:v>common</x:v>
      </x:c>
      <x:c r="G408" s="12" t="str">
        <x:v>Hide Cuirass — Fitted Plate</x:v>
      </x:c>
      <x:c r="H408" s="34" t="n">
        <x:v>1</x:v>
      </x:c>
      <x:c r="I408" s="34" t="str">
        <x:v>reaction</x:v>
      </x:c>
      <x:c r="J408" s="34" t="str"/>
      <x:c r="K408" s="34" t="str"/>
      <x:c r="L408" s="34" t="n">
        <x:v>5</x:v>
      </x:c>
      <x:c r="M408" s="12" t="str"/>
      <x:c r="N408" s="12" t="str">
        <x:v>Defensive, Party, WoundCare, Reaction</x:v>
      </x:c>
      <x:c r="O408" s="12" t="str">
        <x:v>After damage is previewed, prevent 5 damage. Then give the next ally Guarded 1.</x:v>
      </x:c>
      <x:c r="P408" s="12" t="str">
        <x:v>After incoming damage is previewed, prevent 5 damage with the body slot. Then the next ally gains Guarded 1. If this would drop you to 0 HP, resolve the card first, then die if still at 0 HP.</x:v>
      </x:c>
      <x:c r="Q408" s="12" t="str"/>
      <x:c r="R408" s="12" t="str">
        <x:v>quirk: lastLight</x:v>
      </x:c>
      <x:c r="S408" s="12" t="str">
        <x:v>402446a2c265</x:v>
      </x:c>
      <x:c r="T408" s="12" t="n">
        <x:f>COUNTIF($S$2:$S$757,S408)</x:f>
        <x:v>1</x:v>
      </x:c>
      <x:c r="U408" s="12" t="str">
        <x:f>IF(T408=1,"OK","DUPLICATE")</x:f>
        <x:v>OK</x:v>
      </x:c>
    </x:row>
    <x:row r="409" ht="39.599998474121094" hidden="0" customHeight="1">
      <x:c r="A409" s="12" t="str">
        <x:v>Hide Visage</x:v>
      </x:c>
      <x:c r="B409" s="12" t="str">
        <x:v>LEATHER MASK</x:v>
      </x:c>
      <x:c r="C409" s="12" t="str">
        <x:v>head</x:v>
      </x:c>
      <x:c r="D409" s="12" t="str">
        <x:v>charm</x:v>
      </x:c>
      <x:c r="E409" s="12" t="str">
        <x:v>early</x:v>
      </x:c>
      <x:c r="F409" s="12" t="str">
        <x:v>common</x:v>
      </x:c>
      <x:c r="G409" s="12" t="str">
        <x:v>Hide Visage — Omen</x:v>
      </x:c>
      <x:c r="H409" s="34" t="n">
        <x:v>0</x:v>
      </x:c>
      <x:c r="I409" s="34" t="str">
        <x:v>skill</x:v>
      </x:c>
      <x:c r="J409" s="34" t="str"/>
      <x:c r="K409" s="34" t="str"/>
      <x:c r="L409" s="34" t="str"/>
      <x:c r="M409" s="12" t="str"/>
      <x:c r="N409" s="12" t="str">
        <x:v>Charm, Passive, Survival</x:v>
      </x:c>
      <x:c r="O409" s="12" t="str">
        <x:v>Peek at the next quarry card or weak-point reward. You may mark it; if you do, gain Panic 1.</x:v>
      </x:c>
      <x:c r="P409" s="12" t="str">
        <x:v>Peek at the next quarry AI, hit-location or weak-point reward, depending on screen. You may mark it. If marked, gain Panic 1. If the quarry is Marked, draw 1 then discard 1.</x:v>
      </x:c>
      <x:c r="Q409" s="12" t="str"/>
      <x:c r="R409" s="12" t="str">
        <x:v>quirk: marked</x:v>
      </x:c>
      <x:c r="S409" s="12" t="str">
        <x:v>e01dd7d17928</x:v>
      </x:c>
      <x:c r="T409" s="12" t="n">
        <x:f>COUNTIF($S$2:$S$757,S409)</x:f>
        <x:v>1</x:v>
      </x:c>
      <x:c r="U409" s="12" t="str">
        <x:f>IF(T409=1,"OK","DUPLICATE")</x:f>
        <x:v>OK</x:v>
      </x:c>
    </x:row>
    <x:row r="410" ht="39.599998474121094" hidden="0" customHeight="1">
      <x:c r="A410" s="12" t="str">
        <x:v>Hide Visage</x:v>
      </x:c>
      <x:c r="B410" s="12" t="str">
        <x:v>LEATHER MASK</x:v>
      </x:c>
      <x:c r="C410" s="12" t="str">
        <x:v>head</x:v>
      </x:c>
      <x:c r="D410" s="12" t="str">
        <x:v>charm</x:v>
      </x:c>
      <x:c r="E410" s="12" t="str">
        <x:v>early</x:v>
      </x:c>
      <x:c r="F410" s="12" t="str">
        <x:v>common</x:v>
      </x:c>
      <x:c r="G410" s="12" t="str">
        <x:v>Hide Visage — Glimmer</x:v>
      </x:c>
      <x:c r="H410" s="34" t="n">
        <x:v>0</x:v>
      </x:c>
      <x:c r="I410" s="34" t="str">
        <x:v>reaction</x:v>
      </x:c>
      <x:c r="J410" s="34" t="str"/>
      <x:c r="K410" s="34" t="str"/>
      <x:c r="L410" s="34" t="str"/>
      <x:c r="M410" s="12" t="str"/>
      <x:c r="N410" s="12" t="str">
        <x:v>Charm, Passive, Survival</x:v>
      </x:c>
      <x:c r="O410" s="12" t="str">
        <x:v>When Stagger or a hunt consequence would affect you, reduce it by 1; exhaust this charm.</x:v>
      </x:c>
      <x:c r="P410" s="12" t="str">
        <x:v>When Stagger, Panic, or a hunt consequence would affect this survivor, reduce it by 1; exhaust this charm until the next settlement phase. If the quarry is Marked, draw 1 then discard 1.</x:v>
      </x:c>
      <x:c r="Q410" s="12" t="str"/>
      <x:c r="R410" s="12" t="str">
        <x:v>quirk: marked</x:v>
      </x:c>
      <x:c r="S410" s="12" t="str">
        <x:v>9c1c96fe7865</x:v>
      </x:c>
      <x:c r="T410" s="12" t="n">
        <x:f>COUNTIF($S$2:$S$757,S410)</x:f>
        <x:v>1</x:v>
      </x:c>
      <x:c r="U410" s="12" t="str">
        <x:f>IF(T410=1,"OK","DUPLICATE")</x:f>
        <x:v>OK</x:v>
      </x:c>
    </x:row>
    <x:row r="411" ht="39.599998474121094" hidden="0" customHeight="1">
      <x:c r="A411" s="12" t="str">
        <x:v>Hide Skirt</x:v>
      </x:c>
      <x:c r="B411" s="12" t="str">
        <x:v>LEATHER SKIRT</x:v>
      </x:c>
      <x:c r="C411" s="12" t="str">
        <x:v>waist</x:v>
      </x:c>
      <x:c r="D411" s="12" t="str">
        <x:v>armor</x:v>
      </x:c>
      <x:c r="E411" s="12" t="str">
        <x:v>early</x:v>
      </x:c>
      <x:c r="F411" s="12" t="str">
        <x:v>common</x:v>
      </x:c>
      <x:c r="G411" s="12" t="str">
        <x:v>Hide Skirt — Brace</x:v>
      </x:c>
      <x:c r="H411" s="34" t="n">
        <x:v>1</x:v>
      </x:c>
      <x:c r="I411" s="34" t="str">
        <x:v>skill</x:v>
      </x:c>
      <x:c r="J411" s="34" t="str"/>
      <x:c r="K411" s="34" t="str"/>
      <x:c r="L411" s="34" t="n">
        <x:v>4</x:v>
      </x:c>
      <x:c r="M411" s="12" t="str"/>
      <x:c r="N411" s="12" t="str">
        <x:v>Defensive, Party, WoundCare</x:v>
      </x:c>
      <x:c r="O411" s="12" t="str">
        <x:v>Gain 4 block and Guarded 2. If hit before your next turn, reduce Exposed or Panic by 1.</x:v>
      </x:c>
      <x:c r="P411" s="12" t="str">
        <x:v>Gain 4 block and Guarded 2. If the next monster hit lands before your next turn, reduce Exposed or Panic by 1 after damage. If you already played an attack this turn, add +1 damage or +1 block.</x:v>
      </x:c>
      <x:c r="Q411" s="12" t="str"/>
      <x:c r="R411" s="12" t="str">
        <x:v>quirk: followUp</x:v>
      </x:c>
      <x:c r="S411" s="12" t="str">
        <x:v>1593d237d101</x:v>
      </x:c>
      <x:c r="T411" s="12" t="n">
        <x:f>COUNTIF($S$2:$S$757,S411)</x:f>
        <x:v>1</x:v>
      </x:c>
      <x:c r="U411" s="12" t="str">
        <x:f>IF(T411=1,"OK","DUPLICATE")</x:f>
        <x:v>OK</x:v>
      </x:c>
    </x:row>
    <x:row r="412" ht="39.599998474121094" hidden="0" customHeight="1">
      <x:c r="A412" s="12" t="str">
        <x:v>Hide Skirt</x:v>
      </x:c>
      <x:c r="B412" s="12" t="str">
        <x:v>LEATHER SKIRT</x:v>
      </x:c>
      <x:c r="C412" s="12" t="str">
        <x:v>waist</x:v>
      </x:c>
      <x:c r="D412" s="12" t="str">
        <x:v>armor</x:v>
      </x:c>
      <x:c r="E412" s="12" t="str">
        <x:v>early</x:v>
      </x:c>
      <x:c r="F412" s="12" t="str">
        <x:v>common</x:v>
      </x:c>
      <x:c r="G412" s="12" t="str">
        <x:v>Hide Skirt — Fitted Plate</x:v>
      </x:c>
      <x:c r="H412" s="34" t="n">
        <x:v>1</x:v>
      </x:c>
      <x:c r="I412" s="34" t="str">
        <x:v>reaction</x:v>
      </x:c>
      <x:c r="J412" s="34" t="str"/>
      <x:c r="K412" s="34" t="str"/>
      <x:c r="L412" s="34" t="n">
        <x:v>6</x:v>
      </x:c>
      <x:c r="M412" s="12" t="str"/>
      <x:c r="N412" s="12" t="str">
        <x:v>Defensive, Party, WoundCare, Reaction</x:v>
      </x:c>
      <x:c r="O412" s="12" t="str">
        <x:v>After damage is previewed, prevent 6 damage. Then give the next ally Guarded 1.</x:v>
      </x:c>
      <x:c r="P412" s="12" t="str">
        <x:v>After incoming damage is previewed, prevent 6 damage with the waist slot. Then the next ally gains Guarded 1. If you already played an attack this turn, add +1 damage or +1 block.</x:v>
      </x:c>
      <x:c r="Q412" s="12" t="str"/>
      <x:c r="R412" s="12" t="str">
        <x:v>quirk: followUp</x:v>
      </x:c>
      <x:c r="S412" s="12" t="str">
        <x:v>79ebf0c2870d</x:v>
      </x:c>
      <x:c r="T412" s="12" t="n">
        <x:f>COUNTIF($S$2:$S$757,S412)</x:f>
        <x:v>1</x:v>
      </x:c>
      <x:c r="U412" s="12" t="str">
        <x:f>IF(T412=1,"OK","DUPLICATE")</x:f>
        <x:v>OK</x:v>
      </x:c>
    </x:row>
    <x:row r="413" ht="39.599998474121094" hidden="0" customHeight="1">
      <x:c r="A413" s="12" t="str">
        <x:v>Hunter Beast Katar</x:v>
      </x:c>
      <x:c r="B413" s="12" t="str">
        <x:v>LION BEAST KATAR</x:v>
      </x:c>
      <x:c r="C413" s="12" t="str">
        <x:v>weapon</x:v>
      </x:c>
      <x:c r="D413" s="12" t="str">
        <x:v>katar</x:v>
      </x:c>
      <x:c r="E413" s="12" t="str">
        <x:v>early</x:v>
      </x:c>
      <x:c r="F413" s="12" t="str">
        <x:v>uncommon</x:v>
      </x:c>
      <x:c r="G413" s="12" t="str">
        <x:v>Hunter Beast Katar — Opening Cut</x:v>
      </x:c>
      <x:c r="H413" s="34" t="n">
        <x:v>0</x:v>
      </x:c>
      <x:c r="I413" s="34" t="str">
        <x:v>attack</x:v>
      </x:c>
      <x:c r="J413" s="34" t="n">
        <x:v>4</x:v>
      </x:c>
      <x:c r="K413" s="34" t="n">
        <x:v>2</x:v>
      </x:c>
      <x:c r="L413" s="34" t="str"/>
      <x:c r="M413" s="12" t="str">
        <x:v>Bleed 3 | Target: White Lion</x:v>
      </x:c>
      <x:c r="N413" s="12" t="str">
        <x:v>Quick, Predator, Precise, Attack</x:v>
      </x:c>
      <x:c r="O413" s="12" t="str">
        <x:v>Deal 4 damage. Apply Bleed 3 if the target has a White Lion weak point, otherwise gain Marked 1.</x:v>
      </x:c>
      <x:c r="P413" s="12" t="str">
        <x:v>Deal 4 damage with Hunter Beast Katar. Apply Bleed 3 against a matching White Lion weak point; otherwise apply Marked 1. If this would drop you to 0 HP, resolve the card first, then die if still at 0 HP.</x:v>
      </x:c>
      <x:c r="Q413" s="12" t="str"/>
      <x:c r="R413" s="12" t="str">
        <x:v>quirk: lastLight</x:v>
      </x:c>
      <x:c r="S413" s="12" t="str">
        <x:v>cfd4fcd51cb3</x:v>
      </x:c>
      <x:c r="T413" s="12" t="n">
        <x:f>COUNTIF($S$2:$S$757,S413)</x:f>
        <x:v>1</x:v>
      </x:c>
      <x:c r="U413" s="12" t="str">
        <x:f>IF(T413=1,"OK","DUPLICATE")</x:f>
        <x:v>OK</x:v>
      </x:c>
    </x:row>
    <x:row r="414" ht="26.399999618530273" hidden="0" customHeight="1">
      <x:c r="A414" s="12" t="str">
        <x:v>Hunter Beast Katar</x:v>
      </x:c>
      <x:c r="B414" s="12" t="str">
        <x:v>LION BEAST KATAR</x:v>
      </x:c>
      <x:c r="C414" s="12" t="str">
        <x:v>weapon</x:v>
      </x:c>
      <x:c r="D414" s="12" t="str">
        <x:v>katar</x:v>
      </x:c>
      <x:c r="E414" s="12" t="str">
        <x:v>early</x:v>
      </x:c>
      <x:c r="F414" s="12" t="str">
        <x:v>uncommon</x:v>
      </x:c>
      <x:c r="G414" s="12" t="str">
        <x:v>Hunter Beast Katar — Technique</x:v>
      </x:c>
      <x:c r="H414" s="34" t="n">
        <x:v>2</x:v>
      </x:c>
      <x:c r="I414" s="34" t="str">
        <x:v>skill</x:v>
      </x:c>
      <x:c r="J414" s="34" t="str"/>
      <x:c r="K414" s="34" t="str"/>
      <x:c r="L414" s="34" t="n">
        <x:v>3</x:v>
      </x:c>
      <x:c r="M414" s="12" t="str">
        <x:v>Opens: True</x:v>
      </x:c>
      <x:c r="N414" s="12" t="str">
        <x:v>Quick, Predator, Precise, Setup</x:v>
      </x:c>
      <x:c r="O414" s="12" t="str">
        <x:v>Prepare a crossing slash; if the quarry has Bleed, add +2 damage. Also gain 3 block.</x:v>
      </x:c>
      <x:c r="P414" s="12" t="str">
        <x:v>Prepare a crossing slash; if the quarry has Bleed, add +2 damage. Gain 3 block. If this would drop you to 0 HP, resolve the card first, then die if still at 0 HP.</x:v>
      </x:c>
      <x:c r="Q414" s="12" t="str"/>
      <x:c r="R414" s="12" t="str">
        <x:v>quirk: lastLight</x:v>
      </x:c>
      <x:c r="S414" s="12" t="str">
        <x:v>91157da87002</x:v>
      </x:c>
      <x:c r="T414" s="12" t="n">
        <x:f>COUNTIF($S$2:$S$757,S414)</x:f>
        <x:v>1</x:v>
      </x:c>
      <x:c r="U414" s="12" t="str">
        <x:f>IF(T414=1,"OK","DUPLICATE")</x:f>
        <x:v>OK</x:v>
      </x:c>
    </x:row>
    <x:row r="415" ht="26.399999618530273" hidden="0" customHeight="1">
      <x:c r="A415" s="12" t="str">
        <x:v>Hunter Beast Katar</x:v>
      </x:c>
      <x:c r="B415" s="12" t="str">
        <x:v>LION BEAST KATAR</x:v>
      </x:c>
      <x:c r="C415" s="12" t="str">
        <x:v>weapon</x:v>
      </x:c>
      <x:c r="D415" s="12" t="str">
        <x:v>katar</x:v>
      </x:c>
      <x:c r="E415" s="12" t="str">
        <x:v>early</x:v>
      </x:c>
      <x:c r="F415" s="12" t="str">
        <x:v>uncommon</x:v>
      </x:c>
      <x:c r="G415" s="12" t="str">
        <x:v>Hunter Beast Katar — Payoff</x:v>
      </x:c>
      <x:c r="H415" s="34" t="n">
        <x:v>2</x:v>
      </x:c>
      <x:c r="I415" s="34" t="str">
        <x:v>attack</x:v>
      </x:c>
      <x:c r="J415" s="34" t="n">
        <x:v>7</x:v>
      </x:c>
      <x:c r="K415" s="34" t="n">
        <x:v>3</x:v>
      </x:c>
      <x:c r="L415" s="34" t="str"/>
      <x:c r="M415" s="12" t="str">
        <x:v>Bleed 2</x:v>
      </x:c>
      <x:c r="N415" s="12" t="str">
        <x:v>Quick, Predator, Precise, Payoff, WeakPoint</x:v>
      </x:c>
      <x:c r="O415" s="12" t="str">
        <x:v>Deal 7 damage and 3 break damage. If this breaks a weak point, resolve Bleed 2 and the lastLight rider.</x:v>
      </x:c>
      <x:c r="P415" s="12" t="str">
        <x:v>Deal 7 damage and 3 break damage. If the weak point breaks, apply Bleed 2 and resolve: If this would drop you to 0 HP, resolve the card first, then die if still at 0 HP.</x:v>
      </x:c>
      <x:c r="Q415" s="12" t="str"/>
      <x:c r="R415" s="12" t="str">
        <x:v>quirk: lastLight | countsAsCounter False, firstCounterFree False</x:v>
      </x:c>
      <x:c r="S415" s="12" t="str">
        <x:v>db8f755d5b32</x:v>
      </x:c>
      <x:c r="T415" s="12" t="n">
        <x:f>COUNTIF($S$2:$S$757,S415)</x:f>
        <x:v>1</x:v>
      </x:c>
      <x:c r="U415" s="12" t="str">
        <x:f>IF(T415=1,"OK","DUPLICATE")</x:f>
        <x:v>OK</x:v>
      </x:c>
    </x:row>
    <x:row r="416" ht="39.599998474121094" hidden="0" customHeight="1">
      <x:c r="A416" s="12" t="str">
        <x:v>Hunter Headdress</x:v>
      </x:c>
      <x:c r="B416" s="12" t="str">
        <x:v>LION HEADDRESS</x:v>
      </x:c>
      <x:c r="C416" s="12" t="str">
        <x:v>head</x:v>
      </x:c>
      <x:c r="D416" s="12" t="str">
        <x:v>armor</x:v>
      </x:c>
      <x:c r="E416" s="12" t="str">
        <x:v>early</x:v>
      </x:c>
      <x:c r="F416" s="12" t="str">
        <x:v>uncommon</x:v>
      </x:c>
      <x:c r="G416" s="12" t="str">
        <x:v>Hunter Headdress — Brace</x:v>
      </x:c>
      <x:c r="H416" s="34" t="n">
        <x:v>1</x:v>
      </x:c>
      <x:c r="I416" s="34" t="str">
        <x:v>skill</x:v>
      </x:c>
      <x:c r="J416" s="34" t="str"/>
      <x:c r="K416" s="34" t="str"/>
      <x:c r="L416" s="34" t="n">
        <x:v>2</x:v>
      </x:c>
      <x:c r="M416" s="12" t="str"/>
      <x:c r="N416" s="12" t="str">
        <x:v>Defensive, Party, WoundCare</x:v>
      </x:c>
      <x:c r="O416" s="12" t="str">
        <x:v>Gain 2 block and Guarded 1. If hit before your next turn, reduce Bleed or Panic by 1.</x:v>
      </x:c>
      <x:c r="P416" s="12" t="str">
        <x:v>Gain 2 block and Guarded 1. If the next monster hit lands before your next turn, reduce Bleed or Panic by 1 after damage. If the quarry is Marked, draw 1 then discard 1.</x:v>
      </x:c>
      <x:c r="Q416" s="12" t="str"/>
      <x:c r="R416" s="12" t="str">
        <x:v>quirk: marked</x:v>
      </x:c>
      <x:c r="S416" s="12" t="str">
        <x:v>f487c6949e32</x:v>
      </x:c>
      <x:c r="T416" s="12" t="n">
        <x:f>COUNTIF($S$2:$S$757,S416)</x:f>
        <x:v>1</x:v>
      </x:c>
      <x:c r="U416" s="12" t="str">
        <x:f>IF(T416=1,"OK","DUPLICATE")</x:f>
        <x:v>OK</x:v>
      </x:c>
    </x:row>
    <x:row r="417" ht="26.399999618530273" hidden="0" customHeight="1">
      <x:c r="A417" s="12" t="str">
        <x:v>Hunter Headdress</x:v>
      </x:c>
      <x:c r="B417" s="12" t="str">
        <x:v>LION HEADDRESS</x:v>
      </x:c>
      <x:c r="C417" s="12" t="str">
        <x:v>head</x:v>
      </x:c>
      <x:c r="D417" s="12" t="str">
        <x:v>armor</x:v>
      </x:c>
      <x:c r="E417" s="12" t="str">
        <x:v>early</x:v>
      </x:c>
      <x:c r="F417" s="12" t="str">
        <x:v>uncommon</x:v>
      </x:c>
      <x:c r="G417" s="12" t="str">
        <x:v>Hunter Headdress — Fitted Plate</x:v>
      </x:c>
      <x:c r="H417" s="34" t="n">
        <x:v>1</x:v>
      </x:c>
      <x:c r="I417" s="34" t="str">
        <x:v>reaction</x:v>
      </x:c>
      <x:c r="J417" s="34" t="str"/>
      <x:c r="K417" s="34" t="str"/>
      <x:c r="L417" s="34" t="n">
        <x:v>3</x:v>
      </x:c>
      <x:c r="M417" s="12" t="str"/>
      <x:c r="N417" s="12" t="str">
        <x:v>Defensive, Party, WoundCare, Reaction</x:v>
      </x:c>
      <x:c r="O417" s="12" t="str">
        <x:v>After damage is previewed, prevent 3 damage. Then give the next ally Guarded 1.</x:v>
      </x:c>
      <x:c r="P417" s="12" t="str">
        <x:v>After incoming damage is previewed, prevent 3 damage with the head slot. Then the next ally gains Guarded 1. If the quarry is Marked, draw 1 then discard 1.</x:v>
      </x:c>
      <x:c r="Q417" s="12" t="str"/>
      <x:c r="R417" s="12" t="str">
        <x:v>quirk: marked</x:v>
      </x:c>
      <x:c r="S417" s="12" t="str">
        <x:v>516f85347e7a</x:v>
      </x:c>
      <x:c r="T417" s="12" t="n">
        <x:f>COUNTIF($S$2:$S$757,S417)</x:f>
        <x:v>1</x:v>
      </x:c>
      <x:c r="U417" s="12" t="str">
        <x:f>IF(T417=1,"OK","DUPLICATE")</x:f>
        <x:v>OK</x:v>
      </x:c>
    </x:row>
    <x:row r="418" ht="39.599998474121094" hidden="0" customHeight="1">
      <x:c r="A418" s="12" t="str">
        <x:v>Hunter Skin Cloak</x:v>
      </x:c>
      <x:c r="B418" s="12" t="str">
        <x:v>LION SKIN CLOAK</x:v>
      </x:c>
      <x:c r="C418" s="12" t="str">
        <x:v>body</x:v>
      </x:c>
      <x:c r="D418" s="12" t="str">
        <x:v>armor</x:v>
      </x:c>
      <x:c r="E418" s="12" t="str">
        <x:v>early</x:v>
      </x:c>
      <x:c r="F418" s="12" t="str">
        <x:v>uncommon</x:v>
      </x:c>
      <x:c r="G418" s="12" t="str">
        <x:v>Hunter Skin Cloak — Brace</x:v>
      </x:c>
      <x:c r="H418" s="34" t="n">
        <x:v>1</x:v>
      </x:c>
      <x:c r="I418" s="34" t="str">
        <x:v>skill</x:v>
      </x:c>
      <x:c r="J418" s="34" t="str"/>
      <x:c r="K418" s="34" t="str"/>
      <x:c r="L418" s="34" t="n">
        <x:v>3</x:v>
      </x:c>
      <x:c r="M418" s="12" t="str"/>
      <x:c r="N418" s="12" t="str">
        <x:v>Defensive, Party, WoundCare</x:v>
      </x:c>
      <x:c r="O418" s="12" t="str">
        <x:v>Gain 3 block and Guarded 2. If hit before your next turn, reduce Bleed or Panic by 1.</x:v>
      </x:c>
      <x:c r="P418" s="12" t="str">
        <x:v>Gain 3 block and Guarded 2. If the next monster hit lands before your next turn, reduce Bleed or Panic by 1 after damage. If you have Guarded, convert 1 Guarded into +2 damage.</x:v>
      </x:c>
      <x:c r="Q418" s="12" t="str"/>
      <x:c r="R418" s="12" t="str">
        <x:v>quirk: guarded</x:v>
      </x:c>
      <x:c r="S418" s="12" t="str">
        <x:v>c994f3ee22af</x:v>
      </x:c>
      <x:c r="T418" s="12" t="n">
        <x:f>COUNTIF($S$2:$S$757,S418)</x:f>
        <x:v>1</x:v>
      </x:c>
      <x:c r="U418" s="12" t="str">
        <x:f>IF(T418=1,"OK","DUPLICATE")</x:f>
        <x:v>OK</x:v>
      </x:c>
    </x:row>
    <x:row r="419" ht="39.599998474121094" hidden="0" customHeight="1">
      <x:c r="A419" s="12" t="str">
        <x:v>Hunter Skin Cloak</x:v>
      </x:c>
      <x:c r="B419" s="12" t="str">
        <x:v>LION SKIN CLOAK</x:v>
      </x:c>
      <x:c r="C419" s="12" t="str">
        <x:v>body</x:v>
      </x:c>
      <x:c r="D419" s="12" t="str">
        <x:v>armor</x:v>
      </x:c>
      <x:c r="E419" s="12" t="str">
        <x:v>early</x:v>
      </x:c>
      <x:c r="F419" s="12" t="str">
        <x:v>uncommon</x:v>
      </x:c>
      <x:c r="G419" s="12" t="str">
        <x:v>Hunter Skin Cloak — Fitted Plate</x:v>
      </x:c>
      <x:c r="H419" s="34" t="n">
        <x:v>2</x:v>
      </x:c>
      <x:c r="I419" s="34" t="str">
        <x:v>reaction</x:v>
      </x:c>
      <x:c r="J419" s="34" t="str"/>
      <x:c r="K419" s="34" t="str"/>
      <x:c r="L419" s="34" t="n">
        <x:v>5</x:v>
      </x:c>
      <x:c r="M419" s="12" t="str"/>
      <x:c r="N419" s="12" t="str">
        <x:v>Defensive, Party, WoundCare, Reaction</x:v>
      </x:c>
      <x:c r="O419" s="12" t="str">
        <x:v>After damage is previewed, prevent 5 damage. Then give the next ally Guarded 1.</x:v>
      </x:c>
      <x:c r="P419" s="12" t="str">
        <x:v>After incoming damage is previewed, prevent 5 damage with the body slot. Then the next ally gains Guarded 1. If you have Guarded, convert 1 Guarded into +2 damage.</x:v>
      </x:c>
      <x:c r="Q419" s="12" t="str"/>
      <x:c r="R419" s="12" t="str">
        <x:v>quirk: guarded</x:v>
      </x:c>
      <x:c r="S419" s="12" t="str">
        <x:v>dd95ad2591ba</x:v>
      </x:c>
      <x:c r="T419" s="12" t="n">
        <x:f>COUNTIF($S$2:$S$757,S419)</x:f>
        <x:v>1</x:v>
      </x:c>
      <x:c r="U419" s="12" t="str">
        <x:f>IF(T419=1,"OK","DUPLICATE")</x:f>
        <x:v>OK</x:v>
      </x:c>
    </x:row>
    <x:row r="420" ht="39.599998474121094" hidden="0" customHeight="1">
      <x:c r="A420" s="12" t="str">
        <x:v>Hunter Slayer Cape</x:v>
      </x:c>
      <x:c r="B420" s="12" t="str">
        <x:v>LION SLAYER CAPE</x:v>
      </x:c>
      <x:c r="C420" s="12" t="str">
        <x:v>head</x:v>
      </x:c>
      <x:c r="D420" s="12" t="str">
        <x:v>grandWeapon</x:v>
      </x:c>
      <x:c r="E420" s="12" t="str">
        <x:v>early</x:v>
      </x:c>
      <x:c r="F420" s="12" t="str">
        <x:v>uncommon</x:v>
      </x:c>
      <x:c r="G420" s="12" t="str">
        <x:v>Hunter Slayer Cape — Opening Strike</x:v>
      </x:c>
      <x:c r="H420" s="34" t="n">
        <x:v>2</x:v>
      </x:c>
      <x:c r="I420" s="34" t="str">
        <x:v>attack</x:v>
      </x:c>
      <x:c r="J420" s="34" t="n">
        <x:v>5</x:v>
      </x:c>
      <x:c r="K420" s="34" t="n">
        <x:v>5</x:v>
      </x:c>
      <x:c r="L420" s="34" t="str"/>
      <x:c r="M420" s="12" t="str">
        <x:v>Bleed 3 | Target: White Lion</x:v>
      </x:c>
      <x:c r="N420" s="12" t="str">
        <x:v>Heavy, Brutal, Guardbreaker, Attack</x:v>
      </x:c>
      <x:c r="O420" s="12" t="str">
        <x:v>Deal 5 damage. Apply Bleed 3 if the target has a White Lion weak point, otherwise gain Marked 1.</x:v>
      </x:c>
      <x:c r="P420" s="12" t="str">
        <x:v>Deal 5 damage with Hunter Slayer Cape. Apply Bleed 3 against a matching White Lion weak point; otherwise apply Marked 1. If the quarry is below half HP, add +1 break damage.</x:v>
      </x:c>
      <x:c r="Q420" s="12" t="str"/>
      <x:c r="R420" s="12" t="str">
        <x:v>quirk: bloodied</x:v>
      </x:c>
      <x:c r="S420" s="12" t="str">
        <x:v>d522843c2b3f</x:v>
      </x:c>
      <x:c r="T420" s="12" t="n">
        <x:f>COUNTIF($S$2:$S$757,S420)</x:f>
        <x:v>1</x:v>
      </x:c>
      <x:c r="U420" s="12" t="str">
        <x:f>IF(T420=1,"OK","DUPLICATE")</x:f>
        <x:v>OK</x:v>
      </x:c>
    </x:row>
    <x:row r="421" ht="26.399999618530273" hidden="0" customHeight="1">
      <x:c r="A421" s="12" t="str">
        <x:v>Hunter Slayer Cape</x:v>
      </x:c>
      <x:c r="B421" s="12" t="str">
        <x:v>LION SLAYER CAPE</x:v>
      </x:c>
      <x:c r="C421" s="12" t="str">
        <x:v>head</x:v>
      </x:c>
      <x:c r="D421" s="12" t="str">
        <x:v>grandWeapon</x:v>
      </x:c>
      <x:c r="E421" s="12" t="str">
        <x:v>early</x:v>
      </x:c>
      <x:c r="F421" s="12" t="str">
        <x:v>uncommon</x:v>
      </x:c>
      <x:c r="G421" s="12" t="str">
        <x:v>Hunter Slayer Cape — Technique</x:v>
      </x:c>
      <x:c r="H421" s="34" t="n">
        <x:v>1</x:v>
      </x:c>
      <x:c r="I421" s="34" t="str">
        <x:v>skill</x:v>
      </x:c>
      <x:c r="J421" s="34" t="str"/>
      <x:c r="K421" s="34" t="str"/>
      <x:c r="L421" s="34" t="n">
        <x:v>3</x:v>
      </x:c>
      <x:c r="M421" s="12" t="str">
        <x:v>Opens: True</x:v>
      </x:c>
      <x:c r="N421" s="12" t="str">
        <x:v>Heavy, Brutal, Guardbreaker, Setup</x:v>
      </x:c>
      <x:c r="O421" s="12" t="str">
        <x:v>Brace and telegraph; next hit gains Stagger and +2 break damage. Also gain 3 block.</x:v>
      </x:c>
      <x:c r="P421" s="12" t="str">
        <x:v>Brace and telegraph; next hit gains Stagger and +2 break damage. Gain 3 block. If the quarry is below half HP, add +1 break damage.</x:v>
      </x:c>
      <x:c r="Q421" s="12" t="str"/>
      <x:c r="R421" s="12" t="str">
        <x:v>quirk: bloodied</x:v>
      </x:c>
      <x:c r="S421" s="12" t="str">
        <x:v>1195d69031b9</x:v>
      </x:c>
      <x:c r="T421" s="12" t="n">
        <x:f>COUNTIF($S$2:$S$757,S421)</x:f>
        <x:v>1</x:v>
      </x:c>
      <x:c r="U421" s="12" t="str">
        <x:f>IF(T421=1,"OK","DUPLICATE")</x:f>
        <x:v>OK</x:v>
      </x:c>
    </x:row>
    <x:row r="422" ht="26.399999618530273" hidden="0" customHeight="1">
      <x:c r="A422" s="12" t="str">
        <x:v>Hunter Slayer Cape</x:v>
      </x:c>
      <x:c r="B422" s="12" t="str">
        <x:v>LION SLAYER CAPE</x:v>
      </x:c>
      <x:c r="C422" s="12" t="str">
        <x:v>head</x:v>
      </x:c>
      <x:c r="D422" s="12" t="str">
        <x:v>grandWeapon</x:v>
      </x:c>
      <x:c r="E422" s="12" t="str">
        <x:v>early</x:v>
      </x:c>
      <x:c r="F422" s="12" t="str">
        <x:v>uncommon</x:v>
      </x:c>
      <x:c r="G422" s="12" t="str">
        <x:v>Hunter Slayer Cape — Payoff</x:v>
      </x:c>
      <x:c r="H422" s="34" t="n">
        <x:v>3</x:v>
      </x:c>
      <x:c r="I422" s="34" t="str">
        <x:v>attack</x:v>
      </x:c>
      <x:c r="J422" s="34" t="n">
        <x:v>10</x:v>
      </x:c>
      <x:c r="K422" s="34" t="n">
        <x:v>6</x:v>
      </x:c>
      <x:c r="L422" s="34" t="str"/>
      <x:c r="M422" s="12" t="str">
        <x:v>Bleed 2</x:v>
      </x:c>
      <x:c r="N422" s="12" t="str">
        <x:v>Heavy, Brutal, Guardbreaker, Payoff, WeakPoint</x:v>
      </x:c>
      <x:c r="O422" s="12" t="str">
        <x:v>Deal 10 damage and 6 break damage. If this breaks a weak point, resolve Bleed 2 and the bloodied rider.</x:v>
      </x:c>
      <x:c r="P422" s="12" t="str">
        <x:v>Deal 10 damage and 6 break damage. If the weak point breaks, apply Bleed 2 and resolve: If the quarry is below half HP, add +1 break damage.</x:v>
      </x:c>
      <x:c r="Q422" s="12" t="str"/>
      <x:c r="R422" s="12" t="str">
        <x:v>quirk: bloodied | countsAsCounter False, firstCounterFree False</x:v>
      </x:c>
      <x:c r="S422" s="12" t="str">
        <x:v>efa1813e7e1c</x:v>
      </x:c>
      <x:c r="T422" s="12" t="n">
        <x:f>COUNTIF($S$2:$S$757,S422)</x:f>
        <x:v>1</x:v>
      </x:c>
      <x:c r="U422" s="12" t="str">
        <x:f>IF(T422=1,"OK","DUPLICATE")</x:f>
        <x:v>OK</x:v>
      </x:c>
    </x:row>
    <x:row r="423" ht="39.599998474121094" hidden="0" customHeight="1">
      <x:c r="A423" s="12" t="str">
        <x:v>Hunter's Roar (Hunt Phase)</x:v>
      </x:c>
      <x:c r="B423" s="12" t="str">
        <x:v>LION'S ROAR (HUNT PHASE)</x:v>
      </x:c>
      <x:c r="C423" s="12" t="str">
        <x:v>tool</x:v>
      </x:c>
      <x:c r="D423" s="12" t="str">
        <x:v>tool</x:v>
      </x:c>
      <x:c r="E423" s="12" t="str">
        <x:v>early</x:v>
      </x:c>
      <x:c r="F423" s="12" t="str">
        <x:v>uncommon</x:v>
      </x:c>
      <x:c r="G423" s="12" t="str">
        <x:v>Hunter's Roar (Hunt Phase) — Use</x:v>
      </x:c>
      <x:c r="H423" s="34" t="n">
        <x:v>0</x:v>
      </x:c>
      <x:c r="I423" s="34" t="str">
        <x:v>skill</x:v>
      </x:c>
      <x:c r="J423" s="34" t="str"/>
      <x:c r="K423" s="34" t="str"/>
      <x:c r="L423" s="34" t="str"/>
      <x:c r="M423" s="12" t="str">
        <x:v>Snared 1</x:v>
      </x:c>
      <x:c r="N423" s="12" t="str">
        <x:v>Tool, Harvest, Retreat</x:v>
      </x:c>
      <x:c r="O423" s="12" t="str">
        <x:v>Gain +1 to the next harvest, retreat, or weak-point test. If it fails, apply Snared 1 to the quarry or clear it from a survivor.</x:v>
      </x:c>
      <x:c r="P423" s="12" t="str">
        <x:v>Gain +1 to the next harvest, retreat, or weak-point test linked to Hunting Hall. On failure, either apply Snared 1 to the quarry or clear that status from a survivor. On a failed harvest, keep one common fallback material.</x:v>
      </x:c>
      <x:c r="Q423" s="12" t="str"/>
      <x:c r="R423" s="12" t="str">
        <x:v>quirk: salvage</x:v>
      </x:c>
      <x:c r="S423" s="12" t="str">
        <x:v>3e23cd2fa0af</x:v>
      </x:c>
      <x:c r="T423" s="12" t="n">
        <x:f>COUNTIF($S$2:$S$757,S423)</x:f>
        <x:v>1</x:v>
      </x:c>
      <x:c r="U423" s="12" t="str">
        <x:f>IF(T423=1,"OK","DUPLICATE")</x:f>
        <x:v>OK</x:v>
      </x:c>
    </x:row>
    <x:row r="424" ht="39.599998474121094" hidden="0" customHeight="1">
      <x:c r="A424" s="12" t="str">
        <x:v>Hunter's Roar (Hunt Phase)</x:v>
      </x:c>
      <x:c r="B424" s="12" t="str">
        <x:v>LION'S ROAR (HUNT PHASE)</x:v>
      </x:c>
      <x:c r="C424" s="12" t="str">
        <x:v>tool</x:v>
      </x:c>
      <x:c r="D424" s="12" t="str">
        <x:v>tool</x:v>
      </x:c>
      <x:c r="E424" s="12" t="str">
        <x:v>early</x:v>
      </x:c>
      <x:c r="F424" s="12" t="str">
        <x:v>uncommon</x:v>
      </x:c>
      <x:c r="G424" s="12" t="str">
        <x:v>Hunter's Roar (Hunt Phase) — Contingency</x:v>
      </x:c>
      <x:c r="H424" s="34" t="n">
        <x:v>0</x:v>
      </x:c>
      <x:c r="I424" s="34" t="str">
        <x:v>reaction</x:v>
      </x:c>
      <x:c r="J424" s="34" t="str"/>
      <x:c r="K424" s="34" t="str"/>
      <x:c r="L424" s="34" t="str"/>
      <x:c r="M424" s="12" t="str"/>
      <x:c r="N424" s="12" t="str">
        <x:v>Tool, Harvest, Retreat</x:v>
      </x:c>
      <x:c r="O424" s="12" t="str">
        <x:v>When a hunt or monster consequence is previewed, reduce it by 1; on retreat, preserve 2 gathered resource.</x:v>
      </x:c>
      <x:c r="P424" s="12" t="str">
        <x:v>When a hunt event, retreat roll, or monster consequence is previewed, reduce the penalty by 1. If retreating, preserve 2 gathered resource. On a failed harvest, keep one common fallback material.</x:v>
      </x:c>
      <x:c r="Q424" s="12" t="str"/>
      <x:c r="R424" s="12" t="str">
        <x:v>quirk: salvage</x:v>
      </x:c>
      <x:c r="S424" s="12" t="str">
        <x:v>eae121ca320a</x:v>
      </x:c>
      <x:c r="T424" s="12" t="n">
        <x:f>COUNTIF($S$2:$S$757,S424)</x:f>
        <x:v>1</x:v>
      </x:c>
      <x:c r="U424" s="12" t="str">
        <x:f>IF(T424=1,"OK","DUPLICATE")</x:f>
        <x:v>OK</x:v>
      </x:c>
    </x:row>
    <x:row r="425" ht="39.599998474121094" hidden="0" customHeight="1">
      <x:c r="A425" s="12" t="str">
        <x:v>Hunter's Roar (Showdown Phase)</x:v>
      </x:c>
      <x:c r="B425" s="12" t="str">
        <x:v>LION'S ROAR (SHOWDOWN PHASE)</x:v>
      </x:c>
      <x:c r="C425" s="12" t="str">
        <x:v>tool</x:v>
      </x:c>
      <x:c r="D425" s="12" t="str">
        <x:v>tool</x:v>
      </x:c>
      <x:c r="E425" s="12" t="str">
        <x:v>early</x:v>
      </x:c>
      <x:c r="F425" s="12" t="str">
        <x:v>uncommon</x:v>
      </x:c>
      <x:c r="G425" s="12" t="str">
        <x:v>Hunter's Roar (Showdown Phase) — Use</x:v>
      </x:c>
      <x:c r="H425" s="34" t="n">
        <x:v>1</x:v>
      </x:c>
      <x:c r="I425" s="34" t="str">
        <x:v>skill</x:v>
      </x:c>
      <x:c r="J425" s="34" t="str"/>
      <x:c r="K425" s="34" t="str"/>
      <x:c r="L425" s="34" t="str"/>
      <x:c r="M425" s="12" t="str">
        <x:v>Shock 1</x:v>
      </x:c>
      <x:c r="N425" s="12" t="str">
        <x:v>Tool, Harvest, Retreat</x:v>
      </x:c>
      <x:c r="O425" s="12" t="str">
        <x:v>Gain +2 to the next harvest, retreat, or weak-point test. If it fails, apply Shock 1 to the quarry or clear it from a survivor.</x:v>
      </x:c>
      <x:c r="P425" s="12" t="str">
        <x:v>Gain +2 to the next harvest, retreat, or weak-point test linked to Hunting Hall. On failure, either apply Shock 1 to the quarry or clear that status from a survivor. If this is the only card you play this turn, gain +2 block.</x:v>
      </x:c>
      <x:c r="Q425" s="12" t="str"/>
      <x:c r="R425" s="12" t="str">
        <x:v>quirk: stance</x:v>
      </x:c>
      <x:c r="S425" s="12" t="str">
        <x:v>22ec69123437</x:v>
      </x:c>
      <x:c r="T425" s="12" t="n">
        <x:f>COUNTIF($S$2:$S$757,S425)</x:f>
        <x:v>1</x:v>
      </x:c>
      <x:c r="U425" s="12" t="str">
        <x:f>IF(T425=1,"OK","DUPLICATE")</x:f>
        <x:v>OK</x:v>
      </x:c>
    </x:row>
    <x:row r="426" ht="39.599998474121094" hidden="0" customHeight="1">
      <x:c r="A426" s="12" t="str">
        <x:v>Hunter's Roar (Showdown Phase)</x:v>
      </x:c>
      <x:c r="B426" s="12" t="str">
        <x:v>LION'S ROAR (SHOWDOWN PHASE)</x:v>
      </x:c>
      <x:c r="C426" s="12" t="str">
        <x:v>tool</x:v>
      </x:c>
      <x:c r="D426" s="12" t="str">
        <x:v>tool</x:v>
      </x:c>
      <x:c r="E426" s="12" t="str">
        <x:v>early</x:v>
      </x:c>
      <x:c r="F426" s="12" t="str">
        <x:v>uncommon</x:v>
      </x:c>
      <x:c r="G426" s="12" t="str">
        <x:v>Hunter's Roar (Showdown Phase) — Contingency</x:v>
      </x:c>
      <x:c r="H426" s="34" t="n">
        <x:v>1</x:v>
      </x:c>
      <x:c r="I426" s="34" t="str">
        <x:v>reaction</x:v>
      </x:c>
      <x:c r="J426" s="34" t="str"/>
      <x:c r="K426" s="34" t="str"/>
      <x:c r="L426" s="34" t="str"/>
      <x:c r="M426" s="12" t="str"/>
      <x:c r="N426" s="12" t="str">
        <x:v>Tool, Harvest, Retreat</x:v>
      </x:c>
      <x:c r="O426" s="12" t="str">
        <x:v>When a hunt or monster consequence is previewed, reduce it by 2; on retreat, preserve 1 gathered resource.</x:v>
      </x:c>
      <x:c r="P426" s="12" t="str">
        <x:v>When a hunt event, retreat roll, or monster consequence is previewed, reduce the penalty by 2. If retreating, preserve 1 gathered resource. If this is the only card you play this turn, gain +2 block.</x:v>
      </x:c>
      <x:c r="Q426" s="12" t="str"/>
      <x:c r="R426" s="12" t="str">
        <x:v>quirk: stance</x:v>
      </x:c>
      <x:c r="S426" s="12" t="str">
        <x:v>f5c394b7cad9</x:v>
      </x:c>
      <x:c r="T426" s="12" t="n">
        <x:f>COUNTIF($S$2:$S$757,S426)</x:f>
        <x:v>1</x:v>
      </x:c>
      <x:c r="U426" s="12" t="str">
        <x:f>IF(T426=1,"OK","DUPLICATE")</x:f>
        <x:v>OK</x:v>
      </x:c>
    </x:row>
    <x:row r="427" ht="39.599998474121094" hidden="0" customHeight="1">
      <x:c r="A427" s="12" t="str">
        <x:v>Lucky Charm</x:v>
      </x:c>
      <x:c r="B427" s="12" t="str">
        <x:v>LUCKY CHARM</x:v>
      </x:c>
      <x:c r="C427" s="12" t="str">
        <x:v>charm</x:v>
      </x:c>
      <x:c r="D427" s="12" t="str">
        <x:v>charm</x:v>
      </x:c>
      <x:c r="E427" s="12" t="str">
        <x:v>early</x:v>
      </x:c>
      <x:c r="F427" s="12" t="str">
        <x:v>common</x:v>
      </x:c>
      <x:c r="G427" s="12" t="str">
        <x:v>Lucky Charm — Omen</x:v>
      </x:c>
      <x:c r="H427" s="34" t="n">
        <x:v>0</x:v>
      </x:c>
      <x:c r="I427" s="34" t="str">
        <x:v>skill</x:v>
      </x:c>
      <x:c r="J427" s="34" t="str"/>
      <x:c r="K427" s="34" t="str"/>
      <x:c r="L427" s="34" t="str"/>
      <x:c r="M427" s="12" t="str"/>
      <x:c r="N427" s="12" t="str">
        <x:v>Charm, Passive, Survival</x:v>
      </x:c>
      <x:c r="O427" s="12" t="str">
        <x:v>Peek at the next quarry card or weak-point reward. You may mark it; if you do, gain Panic 1.</x:v>
      </x:c>
      <x:c r="P427" s="12" t="str">
        <x:v>Peek at the next quarry AI, hit-location or weak-point reward, depending on screen. You may mark it. If marked, gain Panic 1. After use, Exhaust this equipment until the next monster turn.</x:v>
      </x:c>
      <x:c r="Q427" s="12" t="str"/>
      <x:c r="R427" s="12" t="str">
        <x:v>quirk: exhaust</x:v>
      </x:c>
      <x:c r="S427" s="12" t="str">
        <x:v>3ed52cda169d</x:v>
      </x:c>
      <x:c r="T427" s="12" t="n">
        <x:f>COUNTIF($S$2:$S$757,S427)</x:f>
        <x:v>1</x:v>
      </x:c>
      <x:c r="U427" s="12" t="str">
        <x:f>IF(T427=1,"OK","DUPLICATE")</x:f>
        <x:v>OK</x:v>
      </x:c>
    </x:row>
    <x:row r="428" ht="39.599998474121094" hidden="0" customHeight="1">
      <x:c r="A428" s="12" t="str">
        <x:v>Lucky Charm</x:v>
      </x:c>
      <x:c r="B428" s="12" t="str">
        <x:v>LUCKY CHARM</x:v>
      </x:c>
      <x:c r="C428" s="12" t="str">
        <x:v>charm</x:v>
      </x:c>
      <x:c r="D428" s="12" t="str">
        <x:v>charm</x:v>
      </x:c>
      <x:c r="E428" s="12" t="str">
        <x:v>early</x:v>
      </x:c>
      <x:c r="F428" s="12" t="str">
        <x:v>common</x:v>
      </x:c>
      <x:c r="G428" s="12" t="str">
        <x:v>Lucky Charm — Glimmer</x:v>
      </x:c>
      <x:c r="H428" s="34" t="n">
        <x:v>0</x:v>
      </x:c>
      <x:c r="I428" s="34" t="str">
        <x:v>reaction</x:v>
      </x:c>
      <x:c r="J428" s="34" t="str"/>
      <x:c r="K428" s="34" t="str"/>
      <x:c r="L428" s="34" t="str"/>
      <x:c r="M428" s="12" t="str"/>
      <x:c r="N428" s="12" t="str">
        <x:v>Charm, Passive, Survival</x:v>
      </x:c>
      <x:c r="O428" s="12" t="str">
        <x:v>When Blind or a hunt consequence would affect you, reduce it by 3; exhaust this charm.</x:v>
      </x:c>
      <x:c r="P428" s="12" t="str">
        <x:v>When Blind, Panic, or a hunt consequence would affect this survivor, reduce it by 3; exhaust this charm until the next settlement phase. After use, Exhaust this equipment until the next monster turn.</x:v>
      </x:c>
      <x:c r="Q428" s="12" t="str"/>
      <x:c r="R428" s="12" t="str">
        <x:v>quirk: exhaust</x:v>
      </x:c>
      <x:c r="S428" s="12" t="str">
        <x:v>eca0366f4bb8</x:v>
      </x:c>
      <x:c r="T428" s="12" t="n">
        <x:f>COUNTIF($S$2:$S$757,S428)</x:f>
        <x:v>1</x:v>
      </x:c>
      <x:c r="U428" s="12" t="str">
        <x:f>IF(T428=1,"OK","DUPLICATE")</x:f>
        <x:v>OK</x:v>
      </x:c>
    </x:row>
    <x:row r="429" ht="39.599998474121094" hidden="0" customHeight="1">
      <x:c r="A429" s="12" t="str">
        <x:v>Man Visage</x:v>
      </x:c>
      <x:c r="B429" s="12" t="str">
        <x:v>MAN MASK</x:v>
      </x:c>
      <x:c r="C429" s="12" t="str">
        <x:v>head</x:v>
      </x:c>
      <x:c r="D429" s="12" t="str">
        <x:v>charm</x:v>
      </x:c>
      <x:c r="E429" s="12" t="str">
        <x:v>mid</x:v>
      </x:c>
      <x:c r="F429" s="12" t="str">
        <x:v>uncommon</x:v>
      </x:c>
      <x:c r="G429" s="12" t="str">
        <x:v>Man Visage — Omen</x:v>
      </x:c>
      <x:c r="H429" s="34" t="n">
        <x:v>0</x:v>
      </x:c>
      <x:c r="I429" s="34" t="str">
        <x:v>skill</x:v>
      </x:c>
      <x:c r="J429" s="34" t="str"/>
      <x:c r="K429" s="34" t="str"/>
      <x:c r="L429" s="34" t="str"/>
      <x:c r="M429" s="12" t="str"/>
      <x:c r="N429" s="12" t="str">
        <x:v>Charm, Passive, Survival</x:v>
      </x:c>
      <x:c r="O429" s="12" t="str">
        <x:v>Peek at the next quarry card or weak-point reward. You may mark it; if you do, gain Panic 1.</x:v>
      </x:c>
      <x:c r="P429" s="12" t="str">
        <x:v>Peek at the next quarry AI, hit-location or weak-point reward, depending on screen. You may mark it. If marked, gain Panic 1. On a failed harvest, keep one common fallback material.</x:v>
      </x:c>
      <x:c r="Q429" s="12" t="str"/>
      <x:c r="R429" s="12" t="str">
        <x:v>quirk: salvage</x:v>
      </x:c>
      <x:c r="S429" s="12" t="str">
        <x:v>a147d763a681</x:v>
      </x:c>
      <x:c r="T429" s="12" t="n">
        <x:f>COUNTIF($S$2:$S$757,S429)</x:f>
        <x:v>1</x:v>
      </x:c>
      <x:c r="U429" s="12" t="str">
        <x:f>IF(T429=1,"OK","DUPLICATE")</x:f>
        <x:v>OK</x:v>
      </x:c>
    </x:row>
    <x:row r="430" ht="39.599998474121094" hidden="0" customHeight="1">
      <x:c r="A430" s="12" t="str">
        <x:v>Man Visage</x:v>
      </x:c>
      <x:c r="B430" s="12" t="str">
        <x:v>MAN MASK</x:v>
      </x:c>
      <x:c r="C430" s="12" t="str">
        <x:v>head</x:v>
      </x:c>
      <x:c r="D430" s="12" t="str">
        <x:v>charm</x:v>
      </x:c>
      <x:c r="E430" s="12" t="str">
        <x:v>mid</x:v>
      </x:c>
      <x:c r="F430" s="12" t="str">
        <x:v>uncommon</x:v>
      </x:c>
      <x:c r="G430" s="12" t="str">
        <x:v>Man Visage — Glimmer</x:v>
      </x:c>
      <x:c r="H430" s="34" t="n">
        <x:v>0</x:v>
      </x:c>
      <x:c r="I430" s="34" t="str">
        <x:v>reaction</x:v>
      </x:c>
      <x:c r="J430" s="34" t="str"/>
      <x:c r="K430" s="34" t="str"/>
      <x:c r="L430" s="34" t="str"/>
      <x:c r="M430" s="12" t="str"/>
      <x:c r="N430" s="12" t="str">
        <x:v>Charm, Passive, Survival</x:v>
      </x:c>
      <x:c r="O430" s="12" t="str">
        <x:v>When Snared or a hunt consequence would affect you, reduce it by 2; exhaust this charm.</x:v>
      </x:c>
      <x:c r="P430" s="12" t="str">
        <x:v>When Snared, Panic, or a hunt consequence would affect this survivor, reduce it by 2; exhaust this charm until the next settlement phase. On a failed harvest, keep one common fallback material.</x:v>
      </x:c>
      <x:c r="Q430" s="12" t="str"/>
      <x:c r="R430" s="12" t="str">
        <x:v>quirk: salvage</x:v>
      </x:c>
      <x:c r="S430" s="12" t="str">
        <x:v>9421c6dd96e6</x:v>
      </x:c>
      <x:c r="T430" s="12" t="n">
        <x:f>COUNTIF($S$2:$S$757,S430)</x:f>
        <x:v>1</x:v>
      </x:c>
      <x:c r="U430" s="12" t="str">
        <x:f>IF(T430=1,"OK","DUPLICATE")</x:f>
        <x:v>OK</x:v>
      </x:c>
    </x:row>
    <x:row r="431" ht="39.599998474121094" hidden="0" customHeight="1">
      <x:c r="A431" s="12" t="str">
        <x:v>Metronome</x:v>
      </x:c>
      <x:c r="B431" s="12" t="str">
        <x:v>METRONOME</x:v>
      </x:c>
      <x:c r="C431" s="12" t="str">
        <x:v>weapon</x:v>
      </x:c>
      <x:c r="D431" s="12" t="str">
        <x:v>bow</x:v>
      </x:c>
      <x:c r="E431" s="12" t="str">
        <x:v>mid</x:v>
      </x:c>
      <x:c r="F431" s="12" t="str">
        <x:v>uncommon</x:v>
      </x:c>
      <x:c r="G431" s="12" t="str">
        <x:v>Metronome — Opening Strike</x:v>
      </x:c>
      <x:c r="H431" s="34" t="n">
        <x:v>1</x:v>
      </x:c>
      <x:c r="I431" s="34" t="str">
        <x:v>attack</x:v>
      </x:c>
      <x:c r="J431" s="34" t="n">
        <x:v>4</x:v>
      </x:c>
      <x:c r="K431" s="34" t="n">
        <x:v>2</x:v>
      </x:c>
      <x:c r="L431" s="34" t="str"/>
      <x:c r="M431" s="12" t="str">
        <x:v>Exposed 2 | Target: Rose Knight</x:v>
      </x:c>
      <x:c r="N431" s="12" t="str">
        <x:v>Ranged, Marking, Precise, Attack</x:v>
      </x:c>
      <x:c r="O431" s="12" t="str">
        <x:v>Deal 4 damage. Apply Exposed 2 if the target has a Rose Knight weak point, otherwise gain Marked 1.</x:v>
      </x:c>
      <x:c r="P431" s="12" t="str">
        <x:v>Deal 4 damage with Metronome. Apply Exposed 2 against a matching Rose Knight weak point; otherwise apply Marked 1. You may gain Panic 1 to increase the listed number by 2.</x:v>
      </x:c>
      <x:c r="Q431" s="12" t="str"/>
      <x:c r="R431" s="12" t="str">
        <x:v>quirk: panicBrake</x:v>
      </x:c>
      <x:c r="S431" s="12" t="str">
        <x:v>8d10a8bc4833</x:v>
      </x:c>
      <x:c r="T431" s="12" t="n">
        <x:f>COUNTIF($S$2:$S$757,S431)</x:f>
        <x:v>1</x:v>
      </x:c>
      <x:c r="U431" s="12" t="str">
        <x:f>IF(T431=1,"OK","DUPLICATE")</x:f>
        <x:v>OK</x:v>
      </x:c>
    </x:row>
    <x:row r="432" ht="26.399999618530273" hidden="0" customHeight="1">
      <x:c r="A432" s="12" t="str">
        <x:v>Metronome</x:v>
      </x:c>
      <x:c r="B432" s="12" t="str">
        <x:v>METRONOME</x:v>
      </x:c>
      <x:c r="C432" s="12" t="str">
        <x:v>weapon</x:v>
      </x:c>
      <x:c r="D432" s="12" t="str">
        <x:v>bow</x:v>
      </x:c>
      <x:c r="E432" s="12" t="str">
        <x:v>mid</x:v>
      </x:c>
      <x:c r="F432" s="12" t="str">
        <x:v>uncommon</x:v>
      </x:c>
      <x:c r="G432" s="12" t="str">
        <x:v>Metronome — Technique</x:v>
      </x:c>
      <x:c r="H432" s="34" t="n">
        <x:v>2</x:v>
      </x:c>
      <x:c r="I432" s="34" t="str">
        <x:v>skill</x:v>
      </x:c>
      <x:c r="J432" s="34" t="str"/>
      <x:c r="K432" s="34" t="str"/>
      <x:c r="L432" s="34" t="n">
        <x:v>3</x:v>
      </x:c>
      <x:c r="M432" s="12" t="str">
        <x:v>Opens: True</x:v>
      </x:c>
      <x:c r="N432" s="12" t="str">
        <x:v>Ranged, Marking, Precise, Setup</x:v>
      </x:c>
      <x:c r="O432" s="12" t="str">
        <x:v>Mark a wing, eye or distant weak point; ranged attacks ignore Guarded 1. Also gain 3 block.</x:v>
      </x:c>
      <x:c r="P432" s="12" t="str">
        <x:v>Mark a wing, eye or distant weak point; ranged attacks ignore Guarded 1. Gain 3 block. You may gain Panic 1 to increase the listed number by 2.</x:v>
      </x:c>
      <x:c r="Q432" s="12" t="str"/>
      <x:c r="R432" s="12" t="str">
        <x:v>quirk: panicBrake</x:v>
      </x:c>
      <x:c r="S432" s="12" t="str">
        <x:v>b2a0a1ee6059</x:v>
      </x:c>
      <x:c r="T432" s="12" t="n">
        <x:f>COUNTIF($S$2:$S$757,S432)</x:f>
        <x:v>1</x:v>
      </x:c>
      <x:c r="U432" s="12" t="str">
        <x:f>IF(T432=1,"OK","DUPLICATE")</x:f>
        <x:v>OK</x:v>
      </x:c>
    </x:row>
    <x:row r="433" ht="26.399999618530273" hidden="0" customHeight="1">
      <x:c r="A433" s="12" t="str">
        <x:v>Metronome</x:v>
      </x:c>
      <x:c r="B433" s="12" t="str">
        <x:v>METRONOME</x:v>
      </x:c>
      <x:c r="C433" s="12" t="str">
        <x:v>weapon</x:v>
      </x:c>
      <x:c r="D433" s="12" t="str">
        <x:v>bow</x:v>
      </x:c>
      <x:c r="E433" s="12" t="str">
        <x:v>mid</x:v>
      </x:c>
      <x:c r="F433" s="12" t="str">
        <x:v>uncommon</x:v>
      </x:c>
      <x:c r="G433" s="12" t="str">
        <x:v>Metronome — Payoff</x:v>
      </x:c>
      <x:c r="H433" s="34" t="n">
        <x:v>2</x:v>
      </x:c>
      <x:c r="I433" s="34" t="str">
        <x:v>attack</x:v>
      </x:c>
      <x:c r="J433" s="34" t="n">
        <x:v>8</x:v>
      </x:c>
      <x:c r="K433" s="34" t="n">
        <x:v>3</x:v>
      </x:c>
      <x:c r="L433" s="34" t="str"/>
      <x:c r="M433" s="12" t="str">
        <x:v>Exposed 1</x:v>
      </x:c>
      <x:c r="N433" s="12" t="str">
        <x:v>Ranged, Marking, Precise, Payoff, WeakPoint</x:v>
      </x:c>
      <x:c r="O433" s="12" t="str">
        <x:v>Deal 8 damage and 3 break damage. If this breaks a weak point, resolve Exposed 1 and the panicBrake rider.</x:v>
      </x:c>
      <x:c r="P433" s="12" t="str">
        <x:v>Deal 8 damage and 3 break damage. If the weak point breaks, apply Exposed 1 and resolve: You may gain Panic 1 to increase the listed number by 2.</x:v>
      </x:c>
      <x:c r="Q433" s="12" t="str"/>
      <x:c r="R433" s="12" t="str">
        <x:v>quirk: panicBrake | countsAsCounter False, firstCounterFree False</x:v>
      </x:c>
      <x:c r="S433" s="12" t="str">
        <x:v>7440a7020f07</x:v>
      </x:c>
      <x:c r="T433" s="12" t="n">
        <x:f>COUNTIF($S$2:$S$757,S433)</x:f>
        <x:v>1</x:v>
      </x:c>
      <x:c r="U433" s="12" t="str">
        <x:f>IF(T433=1,"OK","DUPLICATE")</x:f>
        <x:v>OK</x:v>
      </x:c>
    </x:row>
    <x:row r="434" ht="39.599998474121094" hidden="0" customHeight="1">
      <x:c r="A434" s="12" t="str">
        <x:v>Monster Grease</x:v>
      </x:c>
      <x:c r="B434" s="12" t="str">
        <x:v>MONSTER GREASE</x:v>
      </x:c>
      <x:c r="C434" s="12" t="str">
        <x:v>tool</x:v>
      </x:c>
      <x:c r="D434" s="12" t="str">
        <x:v>consumable</x:v>
      </x:c>
      <x:c r="E434" s="12" t="str">
        <x:v>early</x:v>
      </x:c>
      <x:c r="F434" s="12" t="str">
        <x:v>common</x:v>
      </x:c>
      <x:c r="G434" s="12" t="str">
        <x:v>Monster Grease — Use</x:v>
      </x:c>
      <x:c r="H434" s="34" t="n">
        <x:v>0</x:v>
      </x:c>
      <x:c r="I434" s="34" t="str">
        <x:v>skill</x:v>
      </x:c>
      <x:c r="J434" s="34" t="str"/>
      <x:c r="K434" s="34" t="str"/>
      <x:c r="L434" s="34" t="str"/>
      <x:c r="M434" s="12" t="str">
        <x:v>Marked 2</x:v>
      </x:c>
      <x:c r="N434" s="12" t="str">
        <x:v>Tool, Survival, Retreat</x:v>
      </x:c>
      <x:c r="O434" s="12" t="str">
        <x:v>Gain +3 to the next harvest, retreat, or weak-point test. If it fails, apply Marked 2 to the quarry or clear it from a survivor.</x:v>
      </x:c>
      <x:c r="P434" s="12" t="str">
        <x:v>Gain +3 to the next harvest, retreat, or weak-point test linked to Organ Grinder. On failure, either apply Marked 2 to the quarry or clear that status from a survivor. The quarry targets this survivor next unless another card redirects it.</x:v>
      </x:c>
      <x:c r="Q434" s="12" t="str"/>
      <x:c r="R434" s="12" t="str">
        <x:v>quirk: bait</x:v>
      </x:c>
      <x:c r="S434" s="12" t="str">
        <x:v>3518087b84d6</x:v>
      </x:c>
      <x:c r="T434" s="12" t="n">
        <x:f>COUNTIF($S$2:$S$757,S434)</x:f>
        <x:v>1</x:v>
      </x:c>
      <x:c r="U434" s="12" t="str">
        <x:f>IF(T434=1,"OK","DUPLICATE")</x:f>
        <x:v>OK</x:v>
      </x:c>
    </x:row>
    <x:row r="435" ht="39.599998474121094" hidden="0" customHeight="1">
      <x:c r="A435" s="12" t="str">
        <x:v>Monster Grease</x:v>
      </x:c>
      <x:c r="B435" s="12" t="str">
        <x:v>MONSTER GREASE</x:v>
      </x:c>
      <x:c r="C435" s="12" t="str">
        <x:v>tool</x:v>
      </x:c>
      <x:c r="D435" s="12" t="str">
        <x:v>consumable</x:v>
      </x:c>
      <x:c r="E435" s="12" t="str">
        <x:v>early</x:v>
      </x:c>
      <x:c r="F435" s="12" t="str">
        <x:v>common</x:v>
      </x:c>
      <x:c r="G435" s="12" t="str">
        <x:v>Monster Grease — Contingency</x:v>
      </x:c>
      <x:c r="H435" s="34" t="n">
        <x:v>1</x:v>
      </x:c>
      <x:c r="I435" s="34" t="str">
        <x:v>reaction</x:v>
      </x:c>
      <x:c r="J435" s="34" t="str"/>
      <x:c r="K435" s="34" t="str"/>
      <x:c r="L435" s="34" t="str"/>
      <x:c r="M435" s="12" t="str"/>
      <x:c r="N435" s="12" t="str">
        <x:v>Tool, Survival, Retreat</x:v>
      </x:c>
      <x:c r="O435" s="12" t="str">
        <x:v>When a hunt or monster consequence is previewed, reduce it by 3; on retreat, preserve 1 gathered resource.</x:v>
      </x:c>
      <x:c r="P435" s="12" t="str">
        <x:v>When a hunt event, retreat roll, or monster consequence is previewed, reduce the penalty by 3. If retreating, preserve 1 gathered resource. The quarry targets this survivor next unless another card redirects it.</x:v>
      </x:c>
      <x:c r="Q435" s="12" t="str"/>
      <x:c r="R435" s="12" t="str">
        <x:v>quirk: bait</x:v>
      </x:c>
      <x:c r="S435" s="12" t="str">
        <x:v>6d511ddeea88</x:v>
      </x:c>
      <x:c r="T435" s="12" t="n">
        <x:f>COUNTIF($S$2:$S$757,S435)</x:f>
        <x:v>1</x:v>
      </x:c>
      <x:c r="U435" s="12" t="str">
        <x:f>IF(T435=1,"OK","DUPLICATE")</x:f>
        <x:v>OK</x:v>
      </x:c>
    </x:row>
    <x:row r="436" ht="39.599998474121094" hidden="0" customHeight="1">
      <x:c r="A436" s="12" t="str">
        <x:v>Monster Tooth Necklace</x:v>
      </x:c>
      <x:c r="B436" s="12" t="str">
        <x:v>MONSTER TOOTH NECKLACE</x:v>
      </x:c>
      <x:c r="C436" s="12" t="str">
        <x:v>weapon</x:v>
      </x:c>
      <x:c r="D436" s="12" t="str">
        <x:v>fistAndTooth</x:v>
      </x:c>
      <x:c r="E436" s="12" t="str">
        <x:v>early</x:v>
      </x:c>
      <x:c r="F436" s="12" t="str">
        <x:v>common</x:v>
      </x:c>
      <x:c r="G436" s="12" t="str">
        <x:v>Monster Tooth Necklace — Opening Strike</x:v>
      </x:c>
      <x:c r="H436" s="34" t="n">
        <x:v>0</x:v>
      </x:c>
      <x:c r="I436" s="34" t="str">
        <x:v>attack</x:v>
      </x:c>
      <x:c r="J436" s="34" t="n">
        <x:v>3</x:v>
      </x:c>
      <x:c r="K436" s="34" t="n">
        <x:v>0</x:v>
      </x:c>
      <x:c r="L436" s="34" t="str"/>
      <x:c r="M436" s="12" t="str">
        <x:v>Bleed 1 | Target: Settlement</x:v>
      </x:c>
      <x:c r="N436" s="12" t="str">
        <x:v>Counter, Survival, Wound, Attack</x:v>
      </x:c>
      <x:c r="O436" s="12" t="str">
        <x:v>Deal 3 damage. Apply Bleed 1 if the target has a Settlement weak point, otherwise gain Marked 1.</x:v>
      </x:c>
      <x:c r="P436" s="12" t="str">
        <x:v>Deal 3 damage with Monster Tooth Necklace. Apply Bleed 1 against a matching Settlement weak point; otherwise apply Marked 1. If used on a hunt node, also mark one gathered resource as confirmed.</x:v>
      </x:c>
      <x:c r="Q436" s="12" t="str"/>
      <x:c r="R436" s="12" t="str">
        <x:v>quirk: retreat</x:v>
      </x:c>
      <x:c r="S436" s="12" t="str">
        <x:v>1c0a5248d40a</x:v>
      </x:c>
      <x:c r="T436" s="12" t="n">
        <x:f>COUNTIF($S$2:$S$757,S436)</x:f>
        <x:v>1</x:v>
      </x:c>
      <x:c r="U436" s="12" t="str">
        <x:f>IF(T436=1,"OK","DUPLICATE")</x:f>
        <x:v>OK</x:v>
      </x:c>
    </x:row>
    <x:row r="437" ht="26.399999618530273" hidden="0" customHeight="1">
      <x:c r="A437" s="12" t="str">
        <x:v>Monster Tooth Necklace</x:v>
      </x:c>
      <x:c r="B437" s="12" t="str">
        <x:v>MONSTER TOOTH NECKLACE</x:v>
      </x:c>
      <x:c r="C437" s="12" t="str">
        <x:v>weapon</x:v>
      </x:c>
      <x:c r="D437" s="12" t="str">
        <x:v>fistAndTooth</x:v>
      </x:c>
      <x:c r="E437" s="12" t="str">
        <x:v>early</x:v>
      </x:c>
      <x:c r="F437" s="12" t="str">
        <x:v>common</x:v>
      </x:c>
      <x:c r="G437" s="12" t="str">
        <x:v>Monster Tooth Necklace — Technique</x:v>
      </x:c>
      <x:c r="H437" s="34" t="n">
        <x:v>2</x:v>
      </x:c>
      <x:c r="I437" s="34" t="str">
        <x:v>skill</x:v>
      </x:c>
      <x:c r="J437" s="34" t="str"/>
      <x:c r="K437" s="34" t="str"/>
      <x:c r="L437" s="34" t="n">
        <x:v>1</x:v>
      </x:c>
      <x:c r="M437" s="12" t="str">
        <x:v>Opens: True</x:v>
      </x:c>
      <x:c r="N437" s="12" t="str">
        <x:v>Counter, Survival, Wound, Setup</x:v>
      </x:c>
      <x:c r="O437" s="12" t="str">
        <x:v>Bait a close strike; after blocking, Counter with +2 damage. Also gain 1 block.</x:v>
      </x:c>
      <x:c r="P437" s="12" t="str">
        <x:v>Bait a close strike; after blocking, Counter with +2 damage. Gain 1 block. If used on a hunt node, also mark one gathered resource as confirmed.</x:v>
      </x:c>
      <x:c r="Q437" s="12" t="str">
        <x:v>YES</x:v>
      </x:c>
      <x:c r="R437" s="12" t="str">
        <x:v>quirk: retreat</x:v>
      </x:c>
      <x:c r="S437" s="12" t="str">
        <x:v>72e55cbfb50e</x:v>
      </x:c>
      <x:c r="T437" s="12" t="n">
        <x:f>COUNTIF($S$2:$S$757,S437)</x:f>
        <x:v>1</x:v>
      </x:c>
      <x:c r="U437" s="12" t="str">
        <x:f>IF(T437=1,"OK","DUPLICATE")</x:f>
        <x:v>OK</x:v>
      </x:c>
    </x:row>
    <x:row r="438" ht="26.399999618530273" hidden="0" customHeight="1">
      <x:c r="A438" s="12" t="str">
        <x:v>Monster Tooth Necklace</x:v>
      </x:c>
      <x:c r="B438" s="12" t="str">
        <x:v>MONSTER TOOTH NECKLACE</x:v>
      </x:c>
      <x:c r="C438" s="12" t="str">
        <x:v>weapon</x:v>
      </x:c>
      <x:c r="D438" s="12" t="str">
        <x:v>fistAndTooth</x:v>
      </x:c>
      <x:c r="E438" s="12" t="str">
        <x:v>early</x:v>
      </x:c>
      <x:c r="F438" s="12" t="str">
        <x:v>common</x:v>
      </x:c>
      <x:c r="G438" s="12" t="str">
        <x:v>Monster Tooth Necklace — Payoff</x:v>
      </x:c>
      <x:c r="H438" s="34" t="n">
        <x:v>2</x:v>
      </x:c>
      <x:c r="I438" s="34" t="str">
        <x:v>reaction</x:v>
      </x:c>
      <x:c r="J438" s="34" t="n">
        <x:v>5</x:v>
      </x:c>
      <x:c r="K438" s="34" t="n">
        <x:v>1</x:v>
      </x:c>
      <x:c r="L438" s="34" t="str"/>
      <x:c r="M438" s="12" t="str">
        <x:v>Bleed 1</x:v>
      </x:c>
      <x:c r="N438" s="12" t="str">
        <x:v>Counter, Survival, Wound, Payoff, WeakPoint</x:v>
      </x:c>
      <x:c r="O438" s="12" t="str">
        <x:v>Deal 5 damage and 1 break damage. If this breaks a weak point, resolve Bleed 1 and the retreat rider.</x:v>
      </x:c>
      <x:c r="P438" s="12" t="str">
        <x:v>Deal 5 damage and 1 break damage. If the weak point breaks, apply Bleed 1 and resolve: If used on a hunt node, also mark one gathered resource as confirmed.</x:v>
      </x:c>
      <x:c r="Q438" s="12" t="str">
        <x:v>YES</x:v>
      </x:c>
      <x:c r="R438" s="12" t="str">
        <x:v>quirk: retreat | countsAsCounter True, firstCounterFree True</x:v>
      </x:c>
      <x:c r="S438" s="12" t="str">
        <x:v>107ed64ef49e</x:v>
      </x:c>
      <x:c r="T438" s="12" t="n">
        <x:f>COUNTIF($S$2:$S$757,S438)</x:f>
        <x:v>1</x:v>
      </x:c>
      <x:c r="U438" s="12" t="str">
        <x:f>IF(T438=1,"OK","DUPLICATE")</x:f>
        <x:v>OK</x:v>
      </x:c>
    </x:row>
    <x:row r="439" ht="39.599998474121094" hidden="0" customHeight="1">
      <x:c r="A439" s="12" t="str">
        <x:v>Musk Bomb</x:v>
      </x:c>
      <x:c r="B439" s="12" t="str">
        <x:v>MUSK BOMB</x:v>
      </x:c>
      <x:c r="C439" s="12" t="str">
        <x:v>tool</x:v>
      </x:c>
      <x:c r="D439" s="12" t="str">
        <x:v>consumable</x:v>
      </x:c>
      <x:c r="E439" s="12" t="str">
        <x:v>mid</x:v>
      </x:c>
      <x:c r="F439" s="12" t="str">
        <x:v>uncommon</x:v>
      </x:c>
      <x:c r="G439" s="12" t="str">
        <x:v>Musk Bomb — Use</x:v>
      </x:c>
      <x:c r="H439" s="34" t="n">
        <x:v>0</x:v>
      </x:c>
      <x:c r="I439" s="34" t="str">
        <x:v>skill</x:v>
      </x:c>
      <x:c r="J439" s="34" t="str"/>
      <x:c r="K439" s="34" t="str"/>
      <x:c r="L439" s="34" t="str"/>
      <x:c r="M439" s="12" t="str">
        <x:v>Snared 2</x:v>
      </x:c>
      <x:c r="N439" s="12" t="str">
        <x:v>Tool, Survival, Retreat</x:v>
      </x:c>
      <x:c r="O439" s="12" t="str">
        <x:v>Gain +3 to the next harvest, retreat, or weak-point test. If it fails, apply Snared 2 to the quarry or clear it from a survivor.</x:v>
      </x:c>
      <x:c r="P439" s="12" t="str">
        <x:v>Gain +3 to the next harvest, retreat, or weak-point test linked to Barber Surgeon. On failure, either apply Snared 2 to the quarry or clear that status from a survivor. If this would drop you to 0 HP, resolve the card first, then die if still at 0 HP.</x:v>
      </x:c>
      <x:c r="Q439" s="12" t="str"/>
      <x:c r="R439" s="12" t="str">
        <x:v>quirk: lastLight</x:v>
      </x:c>
      <x:c r="S439" s="12" t="str">
        <x:v>3f931c6e839f</x:v>
      </x:c>
      <x:c r="T439" s="12" t="n">
        <x:f>COUNTIF($S$2:$S$757,S439)</x:f>
        <x:v>1</x:v>
      </x:c>
      <x:c r="U439" s="12" t="str">
        <x:f>IF(T439=1,"OK","DUPLICATE")</x:f>
        <x:v>OK</x:v>
      </x:c>
    </x:row>
    <x:row r="440" ht="52.79999923706055" hidden="0" customHeight="1">
      <x:c r="A440" s="12" t="str">
        <x:v>Musk Bomb</x:v>
      </x:c>
      <x:c r="B440" s="12" t="str">
        <x:v>MUSK BOMB</x:v>
      </x:c>
      <x:c r="C440" s="12" t="str">
        <x:v>tool</x:v>
      </x:c>
      <x:c r="D440" s="12" t="str">
        <x:v>consumable</x:v>
      </x:c>
      <x:c r="E440" s="12" t="str">
        <x:v>mid</x:v>
      </x:c>
      <x:c r="F440" s="12" t="str">
        <x:v>uncommon</x:v>
      </x:c>
      <x:c r="G440" s="12" t="str">
        <x:v>Musk Bomb — Contingency</x:v>
      </x:c>
      <x:c r="H440" s="34" t="n">
        <x:v>1</x:v>
      </x:c>
      <x:c r="I440" s="34" t="str">
        <x:v>reaction</x:v>
      </x:c>
      <x:c r="J440" s="34" t="str"/>
      <x:c r="K440" s="34" t="str"/>
      <x:c r="L440" s="34" t="str"/>
      <x:c r="M440" s="12" t="str"/>
      <x:c r="N440" s="12" t="str">
        <x:v>Tool, Survival, Retreat</x:v>
      </x:c>
      <x:c r="O440" s="12" t="str">
        <x:v>When a hunt or monster consequence is previewed, reduce it by 3; on retreat, preserve 1 gathered resource; If this opens or breaks a weak point, improve the next harvest test by +1.</x:v>
      </x:c>
      <x:c r="P440" s="12" t="str">
        <x:v>When a hunt event, retreat roll, or monster consequence is previewed, reduce the penalty by 3. If retreating, preserve 1 gathered resource. If this would drop you to 0 HP, resolve the card first, then die if still at 0 HP. If this opens or breaks a weak point, improve the next harvest test by +1.</x:v>
      </x:c>
      <x:c r="Q440" s="12" t="str"/>
      <x:c r="R440" s="12" t="str">
        <x:v>quirk: lastLight+harvestHook | visibleUnique:harvestHook</x:v>
      </x:c>
      <x:c r="S440" s="12" t="str">
        <x:v>d648416e3bfd</x:v>
      </x:c>
      <x:c r="T440" s="12" t="n">
        <x:f>COUNTIF($S$2:$S$757,S440)</x:f>
        <x:v>1</x:v>
      </x:c>
      <x:c r="U440" s="12" t="str">
        <x:f>IF(T440=1,"OK","DUPLICATE")</x:f>
        <x:v>OK</x:v>
      </x:c>
    </x:row>
    <x:row r="441" ht="39.599998474121094" hidden="0" customHeight="1">
      <x:c r="A441" s="12" t="str">
        <x:v>Nightmare Quiver</x:v>
      </x:c>
      <x:c r="B441" s="12" t="str">
        <x:v>NIGHTMARE QUIVER</x:v>
      </x:c>
      <x:c r="C441" s="12" t="str">
        <x:v>weapon</x:v>
      </x:c>
      <x:c r="D441" s="12" t="str">
        <x:v>bow</x:v>
      </x:c>
      <x:c r="E441" s="12" t="str">
        <x:v>early</x:v>
      </x:c>
      <x:c r="F441" s="12" t="str">
        <x:v>uncommon</x:v>
      </x:c>
      <x:c r="G441" s="12" t="str">
        <x:v>Nightmare Quiver — Opening Strike</x:v>
      </x:c>
      <x:c r="H441" s="34" t="n">
        <x:v>1</x:v>
      </x:c>
      <x:c r="I441" s="34" t="str">
        <x:v>attack</x:v>
      </x:c>
      <x:c r="J441" s="34" t="n">
        <x:v>3</x:v>
      </x:c>
      <x:c r="K441" s="34" t="n">
        <x:v>3</x:v>
      </x:c>
      <x:c r="L441" s="34" t="str"/>
      <x:c r="M441" s="12" t="str">
        <x:v>Bleed 3 | Target: White Lion</x:v>
      </x:c>
      <x:c r="N441" s="12" t="str">
        <x:v>Ranged, Marking, Precise, Attack</x:v>
      </x:c>
      <x:c r="O441" s="12" t="str">
        <x:v>Deal 3 damage. Apply Bleed 3 if the target has a White Lion weak point, otherwise gain Marked 1.</x:v>
      </x:c>
      <x:c r="P441" s="12" t="str">
        <x:v>Deal 3 damage with Nightmare Quiver. Apply Bleed 3 against a matching White Lion weak point; otherwise apply Marked 1. After use, Exhaust this equipment until the next monster turn.</x:v>
      </x:c>
      <x:c r="Q441" s="12" t="str"/>
      <x:c r="R441" s="12" t="str">
        <x:v>quirk: exhaust</x:v>
      </x:c>
      <x:c r="S441" s="12" t="str">
        <x:v>a738464549dc</x:v>
      </x:c>
      <x:c r="T441" s="12" t="n">
        <x:f>COUNTIF($S$2:$S$757,S441)</x:f>
        <x:v>1</x:v>
      </x:c>
      <x:c r="U441" s="12" t="str">
        <x:f>IF(T441=1,"OK","DUPLICATE")</x:f>
        <x:v>OK</x:v>
      </x:c>
    </x:row>
    <x:row r="442" ht="26.399999618530273" hidden="0" customHeight="1">
      <x:c r="A442" s="12" t="str">
        <x:v>Nightmare Quiver</x:v>
      </x:c>
      <x:c r="B442" s="12" t="str">
        <x:v>NIGHTMARE QUIVER</x:v>
      </x:c>
      <x:c r="C442" s="12" t="str">
        <x:v>weapon</x:v>
      </x:c>
      <x:c r="D442" s="12" t="str">
        <x:v>bow</x:v>
      </x:c>
      <x:c r="E442" s="12" t="str">
        <x:v>early</x:v>
      </x:c>
      <x:c r="F442" s="12" t="str">
        <x:v>uncommon</x:v>
      </x:c>
      <x:c r="G442" s="12" t="str">
        <x:v>Nightmare Quiver — Technique</x:v>
      </x:c>
      <x:c r="H442" s="34" t="n">
        <x:v>2</x:v>
      </x:c>
      <x:c r="I442" s="34" t="str">
        <x:v>skill</x:v>
      </x:c>
      <x:c r="J442" s="34" t="str"/>
      <x:c r="K442" s="34" t="str"/>
      <x:c r="L442" s="34" t="n">
        <x:v>4</x:v>
      </x:c>
      <x:c r="M442" s="12" t="str">
        <x:v>Opens: True</x:v>
      </x:c>
      <x:c r="N442" s="12" t="str">
        <x:v>Ranged, Marking, Precise, Setup</x:v>
      </x:c>
      <x:c r="O442" s="12" t="str">
        <x:v>Mark a wing, eye or distant weak point; ranged attacks ignore Guarded 1. Also gain 4 block.</x:v>
      </x:c>
      <x:c r="P442" s="12" t="str">
        <x:v>Mark a wing, eye or distant weak point; ranged attacks ignore Guarded 1. gain 4 block. After use, Exhaust this equipment until the next monster turn.</x:v>
      </x:c>
      <x:c r="Q442" s="12" t="str"/>
      <x:c r="R442" s="12" t="str">
        <x:v>quirk: exhaust</x:v>
      </x:c>
      <x:c r="S442" s="12" t="str">
        <x:v>afdc85509d67</x:v>
      </x:c>
      <x:c r="T442" s="12" t="n">
        <x:f>COUNTIF($S$2:$S$757,S442)</x:f>
        <x:v>1</x:v>
      </x:c>
      <x:c r="U442" s="12" t="str">
        <x:f>IF(T442=1,"OK","DUPLICATE")</x:f>
        <x:v>OK</x:v>
      </x:c>
    </x:row>
    <x:row r="443" ht="26.399999618530273" hidden="0" customHeight="1">
      <x:c r="A443" s="12" t="str">
        <x:v>Nightmare Quiver</x:v>
      </x:c>
      <x:c r="B443" s="12" t="str">
        <x:v>NIGHTMARE QUIVER</x:v>
      </x:c>
      <x:c r="C443" s="12" t="str">
        <x:v>weapon</x:v>
      </x:c>
      <x:c r="D443" s="12" t="str">
        <x:v>bow</x:v>
      </x:c>
      <x:c r="E443" s="12" t="str">
        <x:v>early</x:v>
      </x:c>
      <x:c r="F443" s="12" t="str">
        <x:v>uncommon</x:v>
      </x:c>
      <x:c r="G443" s="12" t="str">
        <x:v>Nightmare Quiver — Payoff</x:v>
      </x:c>
      <x:c r="H443" s="34" t="n">
        <x:v>2</x:v>
      </x:c>
      <x:c r="I443" s="34" t="str">
        <x:v>attack</x:v>
      </x:c>
      <x:c r="J443" s="34" t="n">
        <x:v>7</x:v>
      </x:c>
      <x:c r="K443" s="34" t="n">
        <x:v>4</x:v>
      </x:c>
      <x:c r="L443" s="34" t="str"/>
      <x:c r="M443" s="12" t="str">
        <x:v>Bleed 2</x:v>
      </x:c>
      <x:c r="N443" s="12" t="str">
        <x:v>Ranged, Marking, Precise, Payoff, WeakPoint</x:v>
      </x:c>
      <x:c r="O443" s="12" t="str">
        <x:v>Deal 7 damage and 4 break damage. If this breaks a weak point, resolve Bleed 2 and the exhaust rider.</x:v>
      </x:c>
      <x:c r="P443" s="12" t="str">
        <x:v>Deal 7 damage and 4 break damage. If the weak point breaks, apply Bleed 2 and resolve: After use, Exhaust this equipment until the next monster turn.</x:v>
      </x:c>
      <x:c r="Q443" s="12" t="str"/>
      <x:c r="R443" s="12" t="str">
        <x:v>quirk: exhaust | countsAsCounter False, firstCounterFree False</x:v>
      </x:c>
      <x:c r="S443" s="12" t="str">
        <x:v>096868bfc8fa</x:v>
      </x:c>
      <x:c r="T443" s="12" t="n">
        <x:f>COUNTIF($S$2:$S$757,S443)</x:f>
        <x:v>1</x:v>
      </x:c>
      <x:c r="U443" s="12" t="str">
        <x:f>IF(T443=1,"OK","DUPLICATE")</x:f>
        <x:v>OK</x:v>
      </x:c>
    </x:row>
    <x:row r="444" ht="26.399999618530273" hidden="0" customHeight="1">
      <x:c r="A444" s="12" t="str">
        <x:v>Nuclear Flute (Hunt Phase)</x:v>
      </x:c>
      <x:c r="B444" s="12" t="str">
        <x:v>NUCLEAR FLUTE (HUNT PHASE)</x:v>
      </x:c>
      <x:c r="C444" s="12" t="str">
        <x:v>tool</x:v>
      </x:c>
      <x:c r="D444" s="12" t="str">
        <x:v>instrument</x:v>
      </x:c>
      <x:c r="E444" s="12" t="str">
        <x:v>early</x:v>
      </x:c>
      <x:c r="F444" s="12" t="str">
        <x:v>rare</x:v>
      </x:c>
      <x:c r="G444" s="12" t="str">
        <x:v>Nuclear Flute (Hunt Phase) — Hunt Call</x:v>
      </x:c>
      <x:c r="H444" s="34" t="n">
        <x:v>1</x:v>
      </x:c>
      <x:c r="I444" s="34" t="str">
        <x:v>support</x:v>
      </x:c>
      <x:c r="J444" s="34" t="str"/>
      <x:c r="K444" s="34" t="str"/>
      <x:c r="L444" s="34" t="n">
        <x:v>3</x:v>
      </x:c>
      <x:c r="M444" s="12" t="str"/>
      <x:c r="N444" s="12" t="str">
        <x:v>Support, Party, Panic</x:v>
      </x:c>
      <x:c r="O444" s="12" t="str">
        <x:v>Chosen ally gains 3 block and Prepared 2. Gain Panic 1.</x:v>
      </x:c>
      <x:c r="P444" s="12" t="str">
        <x:v>Chosen ally gains 3 block and Prepared 2. If the phase is wrong for this item, also gain Panic 1. If you already played an attack this turn, add +1 damage or +1 block.</x:v>
      </x:c>
      <x:c r="Q444" s="12" t="str"/>
      <x:c r="R444" s="12" t="str">
        <x:v>quirk: followUp</x:v>
      </x:c>
      <x:c r="S444" s="12" t="str">
        <x:v>37cf8e9eb0ca</x:v>
      </x:c>
      <x:c r="T444" s="12" t="n">
        <x:f>COUNTIF($S$2:$S$757,S444)</x:f>
        <x:v>1</x:v>
      </x:c>
      <x:c r="U444" s="12" t="str">
        <x:f>IF(T444=1,"OK","DUPLICATE")</x:f>
        <x:v>OK</x:v>
      </x:c>
    </x:row>
    <x:row r="445" ht="39.599998474121094" hidden="0" customHeight="1">
      <x:c r="A445" s="12" t="str">
        <x:v>Nuclear Flute (Hunt Phase)</x:v>
      </x:c>
      <x:c r="B445" s="12" t="str">
        <x:v>NUCLEAR FLUTE (HUNT PHASE)</x:v>
      </x:c>
      <x:c r="C445" s="12" t="str">
        <x:v>tool</x:v>
      </x:c>
      <x:c r="D445" s="12" t="str">
        <x:v>instrument</x:v>
      </x:c>
      <x:c r="E445" s="12" t="str">
        <x:v>early</x:v>
      </x:c>
      <x:c r="F445" s="12" t="str">
        <x:v>rare</x:v>
      </x:c>
      <x:c r="G445" s="12" t="str">
        <x:v>Nuclear Flute (Hunt Phase) — Echo</x:v>
      </x:c>
      <x:c r="H445" s="34" t="n">
        <x:v>0</x:v>
      </x:c>
      <x:c r="I445" s="34" t="str">
        <x:v>reaction</x:v>
      </x:c>
      <x:c r="J445" s="34" t="str"/>
      <x:c r="K445" s="34" t="str"/>
      <x:c r="L445" s="34" t="str"/>
      <x:c r="M445" s="12" t="str"/>
      <x:c r="N445" s="12" t="str">
        <x:v>Support, Party, Panic</x:v>
      </x:c>
      <x:c r="O445" s="12" t="str">
        <x:v>After an ally breaks a weak point, give the next ally Guarded 2 or clear Panic 2.</x:v>
      </x:c>
      <x:c r="P445" s="12" t="str">
        <x:v>After an ally breaks a weak point or survives a hunt event, choose: next ally gains Guarded 2, or clear Panic 2. If you already played an attack this turn, add +1 damage or +1 block.</x:v>
      </x:c>
      <x:c r="Q445" s="12" t="str"/>
      <x:c r="R445" s="12" t="str">
        <x:v>quirk: followUp</x:v>
      </x:c>
      <x:c r="S445" s="12" t="str">
        <x:v>56addf22b4aa</x:v>
      </x:c>
      <x:c r="T445" s="12" t="n">
        <x:f>COUNTIF($S$2:$S$757,S445)</x:f>
        <x:v>1</x:v>
      </x:c>
      <x:c r="U445" s="12" t="str">
        <x:f>IF(T445=1,"OK","DUPLICATE")</x:f>
        <x:v>OK</x:v>
      </x:c>
    </x:row>
    <x:row r="446" ht="26.399999618530273" hidden="0" customHeight="1">
      <x:c r="A446" s="12" t="str">
        <x:v>Nuclear Flute (Showdown Phase)</x:v>
      </x:c>
      <x:c r="B446" s="12" t="str">
        <x:v>NUCLEAR FLUTE (SHOWDOWN PHASE)</x:v>
      </x:c>
      <x:c r="C446" s="12" t="str">
        <x:v>tool</x:v>
      </x:c>
      <x:c r="D446" s="12" t="str">
        <x:v>instrument</x:v>
      </x:c>
      <x:c r="E446" s="12" t="str">
        <x:v>early</x:v>
      </x:c>
      <x:c r="F446" s="12" t="str">
        <x:v>rare</x:v>
      </x:c>
      <x:c r="G446" s="12" t="str">
        <x:v>Nuclear Flute (Showdown Phase) — War Call</x:v>
      </x:c>
      <x:c r="H446" s="34" t="n">
        <x:v>1</x:v>
      </x:c>
      <x:c r="I446" s="34" t="str">
        <x:v>support</x:v>
      </x:c>
      <x:c r="J446" s="34" t="str"/>
      <x:c r="K446" s="34" t="str"/>
      <x:c r="L446" s="34" t="n">
        <x:v>4</x:v>
      </x:c>
      <x:c r="M446" s="12" t="str"/>
      <x:c r="N446" s="12" t="str">
        <x:v>Support, Party, Panic</x:v>
      </x:c>
      <x:c r="O446" s="12" t="str">
        <x:v>Chosen ally gains 4 block and Prepared 3. Gain Panic 1.</x:v>
      </x:c>
      <x:c r="P446" s="12" t="str">
        <x:v>Chosen ally gains 4 block and Prepared 3. If the phase is wrong for this item, also gain Panic 1. If the quarry is below half HP, add +1 break damage.</x:v>
      </x:c>
      <x:c r="Q446" s="12" t="str"/>
      <x:c r="R446" s="12" t="str">
        <x:v>quirk: bloodied</x:v>
      </x:c>
      <x:c r="S446" s="12" t="str">
        <x:v>a68ba023143b</x:v>
      </x:c>
      <x:c r="T446" s="12" t="n">
        <x:f>COUNTIF($S$2:$S$757,S446)</x:f>
        <x:v>1</x:v>
      </x:c>
      <x:c r="U446" s="12" t="str">
        <x:f>IF(T446=1,"OK","DUPLICATE")</x:f>
        <x:v>OK</x:v>
      </x:c>
    </x:row>
    <x:row r="447" ht="26.399999618530273" hidden="0" customHeight="1">
      <x:c r="A447" s="12" t="str">
        <x:v>Nuclear Flute (Showdown Phase)</x:v>
      </x:c>
      <x:c r="B447" s="12" t="str">
        <x:v>NUCLEAR FLUTE (SHOWDOWN PHASE)</x:v>
      </x:c>
      <x:c r="C447" s="12" t="str">
        <x:v>tool</x:v>
      </x:c>
      <x:c r="D447" s="12" t="str">
        <x:v>instrument</x:v>
      </x:c>
      <x:c r="E447" s="12" t="str">
        <x:v>early</x:v>
      </x:c>
      <x:c r="F447" s="12" t="str">
        <x:v>rare</x:v>
      </x:c>
      <x:c r="G447" s="12" t="str">
        <x:v>Nuclear Flute (Showdown Phase) — Echo</x:v>
      </x:c>
      <x:c r="H447" s="34" t="n">
        <x:v>1</x:v>
      </x:c>
      <x:c r="I447" s="34" t="str">
        <x:v>reaction</x:v>
      </x:c>
      <x:c r="J447" s="34" t="str"/>
      <x:c r="K447" s="34" t="str"/>
      <x:c r="L447" s="34" t="str"/>
      <x:c r="M447" s="12" t="str"/>
      <x:c r="N447" s="12" t="str">
        <x:v>Support, Party, Panic</x:v>
      </x:c>
      <x:c r="O447" s="12" t="str">
        <x:v>After an ally breaks a weak point, give the next ally Guarded 2 or clear Panic 3.</x:v>
      </x:c>
      <x:c r="P447" s="12" t="str">
        <x:v>After an ally breaks a weak point or survives a hunt event, choose: next ally gains Guarded 2, or clear Panic 3. If the quarry is below half HP, add +1 break damage.</x:v>
      </x:c>
      <x:c r="Q447" s="12" t="str"/>
      <x:c r="R447" s="12" t="str">
        <x:v>quirk: bloodied</x:v>
      </x:c>
      <x:c r="S447" s="12" t="str">
        <x:v>c30494c41759</x:v>
      </x:c>
      <x:c r="T447" s="12" t="n">
        <x:f>COUNTIF($S$2:$S$757,S447)</x:f>
        <x:v>1</x:v>
      </x:c>
      <x:c r="U447" s="12" t="str">
        <x:f>IF(T447=1,"OK","DUPLICATE")</x:f>
        <x:v>OK</x:v>
      </x:c>
    </x:row>
    <x:row r="448" ht="39.599998474121094" hidden="0" customHeight="1">
      <x:c r="A448" s="12" t="str">
        <x:v>Nuclear Knife</x:v>
      </x:c>
      <x:c r="B448" s="12" t="str">
        <x:v>NUCLEAR KNIFE</x:v>
      </x:c>
      <x:c r="C448" s="12" t="str">
        <x:v>weapon</x:v>
      </x:c>
      <x:c r="D448" s="12" t="str">
        <x:v>dagger</x:v>
      </x:c>
      <x:c r="E448" s="12" t="str">
        <x:v>apex</x:v>
      </x:c>
      <x:c r="F448" s="12" t="str">
        <x:v>rare</x:v>
      </x:c>
      <x:c r="G448" s="12" t="str">
        <x:v>Nuclear Knife — Opening Cut</x:v>
      </x:c>
      <x:c r="H448" s="34" t="n">
        <x:v>0</x:v>
      </x:c>
      <x:c r="I448" s="34" t="str">
        <x:v>attack</x:v>
      </x:c>
      <x:c r="J448" s="34" t="n">
        <x:v>5</x:v>
      </x:c>
      <x:c r="K448" s="34" t="n">
        <x:v>3</x:v>
      </x:c>
      <x:c r="L448" s="34" t="str"/>
      <x:c r="M448" s="12" t="str">
        <x:v>Burn 4 | Target: Dragon King</x:v>
      </x:c>
      <x:c r="N448" s="12" t="str">
        <x:v>Quick, Precise, Harvest, Attack</x:v>
      </x:c>
      <x:c r="O448" s="12" t="str">
        <x:v>Deal 5 damage. Apply Burn 4 if the target has a Dragon King weak point, otherwise gain Marked 1.</x:v>
      </x:c>
      <x:c r="P448" s="12" t="str">
        <x:v>Deal 5 damage with Nuclear Knife. Apply Burn 4 against a matching Dragon King weak point; otherwise apply Marked 1. If played after blocking, your next Counter gains +2 damage.</x:v>
      </x:c>
      <x:c r="Q448" s="12" t="str"/>
      <x:c r="R448" s="12" t="str">
        <x:v>quirk: counterReady</x:v>
      </x:c>
      <x:c r="S448" s="12" t="str">
        <x:v>130debc9e790</x:v>
      </x:c>
      <x:c r="T448" s="12" t="n">
        <x:f>COUNTIF($S$2:$S$757,S448)</x:f>
        <x:v>1</x:v>
      </x:c>
      <x:c r="U448" s="12" t="str">
        <x:f>IF(T448=1,"OK","DUPLICATE")</x:f>
        <x:v>OK</x:v>
      </x:c>
    </x:row>
    <x:row r="449" ht="26.399999618530273" hidden="0" customHeight="1">
      <x:c r="A449" s="12" t="str">
        <x:v>Nuclear Knife</x:v>
      </x:c>
      <x:c r="B449" s="12" t="str">
        <x:v>NUCLEAR KNIFE</x:v>
      </x:c>
      <x:c r="C449" s="12" t="str">
        <x:v>weapon</x:v>
      </x:c>
      <x:c r="D449" s="12" t="str">
        <x:v>dagger</x:v>
      </x:c>
      <x:c r="E449" s="12" t="str">
        <x:v>apex</x:v>
      </x:c>
      <x:c r="F449" s="12" t="str">
        <x:v>rare</x:v>
      </x:c>
      <x:c r="G449" s="12" t="str">
        <x:v>Nuclear Knife — Technique</x:v>
      </x:c>
      <x:c r="H449" s="34" t="n">
        <x:v>1</x:v>
      </x:c>
      <x:c r="I449" s="34" t="str">
        <x:v>skill</x:v>
      </x:c>
      <x:c r="J449" s="34" t="str"/>
      <x:c r="K449" s="34" t="str"/>
      <x:c r="L449" s="34" t="n">
        <x:v>6</x:v>
      </x:c>
      <x:c r="M449" s="12" t="str">
        <x:v>Opens: True</x:v>
      </x:c>
      <x:c r="N449" s="12" t="str">
        <x:v>Quick, Precise, Harvest, Setup</x:v>
      </x:c>
      <x:c r="O449" s="12" t="str">
        <x:v>Expose a fragile weak point; next knife attack gains +2 break damage. Also gain 6 block.</x:v>
      </x:c>
      <x:c r="P449" s="12" t="str">
        <x:v>Expose a fragile weak point; next knife attack gains +2 break damage. Gain 6 block. If played after blocking, your next Counter gains +2 damage.</x:v>
      </x:c>
      <x:c r="Q449" s="12" t="str"/>
      <x:c r="R449" s="12" t="str">
        <x:v>quirk: counterReady</x:v>
      </x:c>
      <x:c r="S449" s="12" t="str">
        <x:v>b9b654c251cc</x:v>
      </x:c>
      <x:c r="T449" s="12" t="n">
        <x:f>COUNTIF($S$2:$S$757,S449)</x:f>
        <x:v>1</x:v>
      </x:c>
      <x:c r="U449" s="12" t="str">
        <x:f>IF(T449=1,"OK","DUPLICATE")</x:f>
        <x:v>OK</x:v>
      </x:c>
    </x:row>
    <x:row r="450" ht="26.399999618530273" hidden="0" customHeight="1">
      <x:c r="A450" s="12" t="str">
        <x:v>Nuclear Knife</x:v>
      </x:c>
      <x:c r="B450" s="12" t="str">
        <x:v>NUCLEAR KNIFE</x:v>
      </x:c>
      <x:c r="C450" s="12" t="str">
        <x:v>weapon</x:v>
      </x:c>
      <x:c r="D450" s="12" t="str">
        <x:v>dagger</x:v>
      </x:c>
      <x:c r="E450" s="12" t="str">
        <x:v>apex</x:v>
      </x:c>
      <x:c r="F450" s="12" t="str">
        <x:v>rare</x:v>
      </x:c>
      <x:c r="G450" s="12" t="str">
        <x:v>Nuclear Knife — Payoff</x:v>
      </x:c>
      <x:c r="H450" s="34" t="n">
        <x:v>2</x:v>
      </x:c>
      <x:c r="I450" s="34" t="str">
        <x:v>attack</x:v>
      </x:c>
      <x:c r="J450" s="34" t="n">
        <x:v>8</x:v>
      </x:c>
      <x:c r="K450" s="34" t="n">
        <x:v>4</x:v>
      </x:c>
      <x:c r="L450" s="34" t="str"/>
      <x:c r="M450" s="12" t="str">
        <x:v>Burn 3</x:v>
      </x:c>
      <x:c r="N450" s="12" t="str">
        <x:v>Quick, Precise, Harvest, Payoff, WeakPoint</x:v>
      </x:c>
      <x:c r="O450" s="12" t="str">
        <x:v>Deal 8 damage and 4 break damage. If this breaks a weak point, resolve Burn 3 and the counterReady rider.</x:v>
      </x:c>
      <x:c r="P450" s="12" t="str">
        <x:v>Deal 8 damage and 4 break damage. If the weak point breaks, apply Burn 3 and resolve: If played after blocking, your next Counter gains +2 damage.</x:v>
      </x:c>
      <x:c r="Q450" s="12" t="str"/>
      <x:c r="R450" s="12" t="str">
        <x:v>quirk: counterReady | countsAsCounter False, firstCounterFree False</x:v>
      </x:c>
      <x:c r="S450" s="12" t="str">
        <x:v>6ab7625e75c7</x:v>
      </x:c>
      <x:c r="T450" s="12" t="n">
        <x:f>COUNTIF($S$2:$S$757,S450)</x:f>
        <x:v>1</x:v>
      </x:c>
      <x:c r="U450" s="12" t="str">
        <x:f>IF(T450=1,"OK","DUPLICATE")</x:f>
        <x:v>OK</x:v>
      </x:c>
    </x:row>
    <x:row r="451" ht="39.599998474121094" hidden="0" customHeight="1">
      <x:c r="A451" s="12" t="str">
        <x:v>Nuclear Scythe</x:v>
      </x:c>
      <x:c r="B451" s="12" t="str">
        <x:v>NUCLEAR SCYTHE</x:v>
      </x:c>
      <x:c r="C451" s="12" t="str">
        <x:v>weapon</x:v>
      </x:c>
      <x:c r="D451" s="12" t="str">
        <x:v>scythe</x:v>
      </x:c>
      <x:c r="E451" s="12" t="str">
        <x:v>apex</x:v>
      </x:c>
      <x:c r="F451" s="12" t="str">
        <x:v>rare</x:v>
      </x:c>
      <x:c r="G451" s="12" t="str">
        <x:v>Nuclear Scythe — Opening Strike</x:v>
      </x:c>
      <x:c r="H451" s="34" t="n">
        <x:v>1</x:v>
      </x:c>
      <x:c r="I451" s="34" t="str">
        <x:v>attack</x:v>
      </x:c>
      <x:c r="J451" s="34" t="n">
        <x:v>7</x:v>
      </x:c>
      <x:c r="K451" s="34" t="n">
        <x:v>2</x:v>
      </x:c>
      <x:c r="L451" s="34" t="str"/>
      <x:c r="M451" s="12" t="str">
        <x:v>Doom 2 | Target: Dragon King</x:v>
      </x:c>
      <x:c r="N451" s="12" t="str">
        <x:v>Panic, Strange, Harvest, Attack</x:v>
      </x:c>
      <x:c r="O451" s="12" t="str">
        <x:v>Deal 7 damage. Apply Doom 2 if the target has a Dragon King weak point, otherwise gain Marked 1.</x:v>
      </x:c>
      <x:c r="P451" s="12" t="str">
        <x:v>Deal 7 damage with Nuclear Scythe. Apply Doom 2 against a matching Dragon King weak point; otherwise apply Marked 1. If you play a third attack this round, gain Panic 1.</x:v>
      </x:c>
      <x:c r="Q451" s="12" t="str"/>
      <x:c r="R451" s="12" t="str">
        <x:v>quirk: frenzyCheck</x:v>
      </x:c>
      <x:c r="S451" s="12" t="str">
        <x:v>a4b90b2919d9</x:v>
      </x:c>
      <x:c r="T451" s="12" t="n">
        <x:f>COUNTIF($S$2:$S$757,S451)</x:f>
        <x:v>1</x:v>
      </x:c>
      <x:c r="U451" s="12" t="str">
        <x:f>IF(T451=1,"OK","DUPLICATE")</x:f>
        <x:v>OK</x:v>
      </x:c>
    </x:row>
    <x:row r="452" ht="26.399999618530273" hidden="0" customHeight="1">
      <x:c r="A452" s="12" t="str">
        <x:v>Nuclear Scythe</x:v>
      </x:c>
      <x:c r="B452" s="12" t="str">
        <x:v>NUCLEAR SCYTHE</x:v>
      </x:c>
      <x:c r="C452" s="12" t="str">
        <x:v>weapon</x:v>
      </x:c>
      <x:c r="D452" s="12" t="str">
        <x:v>scythe</x:v>
      </x:c>
      <x:c r="E452" s="12" t="str">
        <x:v>apex</x:v>
      </x:c>
      <x:c r="F452" s="12" t="str">
        <x:v>rare</x:v>
      </x:c>
      <x:c r="G452" s="12" t="str">
        <x:v>Nuclear Scythe — Technique</x:v>
      </x:c>
      <x:c r="H452" s="34" t="n">
        <x:v>2</x:v>
      </x:c>
      <x:c r="I452" s="34" t="str">
        <x:v>skill</x:v>
      </x:c>
      <x:c r="J452" s="34" t="str"/>
      <x:c r="K452" s="34" t="str"/>
      <x:c r="L452" s="34" t="n">
        <x:v>4</x:v>
      </x:c>
      <x:c r="M452" s="12" t="str">
        <x:v>Opens: True</x:v>
      </x:c>
      <x:c r="N452" s="12" t="str">
        <x:v>Panic, Strange, Harvest, Setup</x:v>
      </x:c>
      <x:c r="O452" s="12" t="str">
        <x:v>Sweep through dread; apply Doom 2 or Panic 1 to yourself to add +2 damage. Also gain 4 block.</x:v>
      </x:c>
      <x:c r="P452" s="12" t="str">
        <x:v>Sweep through dread; apply Doom 2 or Panic 1 to yourself to add +2 damage. Gain 4 block. If you play a third attack this round, gain Panic 1.</x:v>
      </x:c>
      <x:c r="Q452" s="12" t="str"/>
      <x:c r="R452" s="12" t="str">
        <x:v>quirk: frenzyCheck</x:v>
      </x:c>
      <x:c r="S452" s="12" t="str">
        <x:v>6d32a45817c0</x:v>
      </x:c>
      <x:c r="T452" s="12" t="n">
        <x:f>COUNTIF($S$2:$S$757,S452)</x:f>
        <x:v>1</x:v>
      </x:c>
      <x:c r="U452" s="12" t="str">
        <x:f>IF(T452=1,"OK","DUPLICATE")</x:f>
        <x:v>OK</x:v>
      </x:c>
    </x:row>
    <x:row r="453" ht="26.399999618530273" hidden="0" customHeight="1">
      <x:c r="A453" s="12" t="str">
        <x:v>Nuclear Scythe</x:v>
      </x:c>
      <x:c r="B453" s="12" t="str">
        <x:v>NUCLEAR SCYTHE</x:v>
      </x:c>
      <x:c r="C453" s="12" t="str">
        <x:v>weapon</x:v>
      </x:c>
      <x:c r="D453" s="12" t="str">
        <x:v>scythe</x:v>
      </x:c>
      <x:c r="E453" s="12" t="str">
        <x:v>apex</x:v>
      </x:c>
      <x:c r="F453" s="12" t="str">
        <x:v>rare</x:v>
      </x:c>
      <x:c r="G453" s="12" t="str">
        <x:v>Nuclear Scythe — Payoff</x:v>
      </x:c>
      <x:c r="H453" s="34" t="n">
        <x:v>2</x:v>
      </x:c>
      <x:c r="I453" s="34" t="str">
        <x:v>attack</x:v>
      </x:c>
      <x:c r="J453" s="34" t="n">
        <x:v>12</x:v>
      </x:c>
      <x:c r="K453" s="34" t="n">
        <x:v>3</x:v>
      </x:c>
      <x:c r="L453" s="34" t="str"/>
      <x:c r="M453" s="12" t="str">
        <x:v>Doom 1</x:v>
      </x:c>
      <x:c r="N453" s="12" t="str">
        <x:v>Panic, Strange, Harvest, Payoff, WeakPoint</x:v>
      </x:c>
      <x:c r="O453" s="12" t="str">
        <x:v>Deal 12 damage and 3 break damage. If this breaks a weak point, resolve Doom 1 and the frenzyCheck rider.</x:v>
      </x:c>
      <x:c r="P453" s="12" t="str">
        <x:v>Deal 12 damage and 3 break damage. If the weak point breaks, apply Doom 1 and resolve: If you play a third attack this round, gain Panic 1.</x:v>
      </x:c>
      <x:c r="Q453" s="12" t="str"/>
      <x:c r="R453" s="12" t="str">
        <x:v>quirk: frenzyCheck | countsAsCounter False, firstCounterFree False</x:v>
      </x:c>
      <x:c r="S453" s="12" t="str">
        <x:v>6d546cb66e06</x:v>
      </x:c>
      <x:c r="T453" s="12" t="n">
        <x:f>COUNTIF($S$2:$S$757,S453)</x:f>
        <x:v>1</x:v>
      </x:c>
      <x:c r="U453" s="12" t="str">
        <x:f>IF(T453=1,"OK","DUPLICATE")</x:f>
        <x:v>OK</x:v>
      </x:c>
    </x:row>
    <x:row r="454" ht="26.399999618530273" hidden="0" customHeight="1">
      <x:c r="A454" s="12" t="str">
        <x:v>Oxidized Beacon Guard</x:v>
      </x:c>
      <x:c r="B454" s="12" t="str">
        <x:v>OXIDIZED BEACON SHIELD</x:v>
      </x:c>
      <x:c r="C454" s="12" t="str">
        <x:v>offhand</x:v>
      </x:c>
      <x:c r="D454" s="12" t="str">
        <x:v>shield</x:v>
      </x:c>
      <x:c r="E454" s="12" t="str">
        <x:v>early</x:v>
      </x:c>
      <x:c r="F454" s="12" t="str">
        <x:v>common</x:v>
      </x:c>
      <x:c r="G454" s="12" t="str">
        <x:v>Oxidized Beacon Guard — Shield Wall</x:v>
      </x:c>
      <x:c r="H454" s="34" t="n">
        <x:v>1</x:v>
      </x:c>
      <x:c r="I454" s="34" t="str">
        <x:v>skill</x:v>
      </x:c>
      <x:c r="J454" s="34" t="str"/>
      <x:c r="K454" s="34" t="str"/>
      <x:c r="L454" s="34" t="n">
        <x:v>3</x:v>
      </x:c>
      <x:c r="M454" s="12" t="str"/>
      <x:c r="N454" s="12" t="str">
        <x:v>Defensive, Counter, Party</x:v>
      </x:c>
      <x:c r="O454" s="12" t="str">
        <x:v>Gain 3 block and give chosen ally Guarded 1. The first Counter from this equipment this battle costs 0.</x:v>
      </x:c>
      <x:c r="P454" s="12" t="str">
        <x:v>Gain 3 block and give chosen ally Guarded 1. Set firstCounterReady for this equipment if unused. If a tell is Open, add +2 to the listed damage or block value.</x:v>
      </x:c>
      <x:c r="Q454" s="12" t="str"/>
      <x:c r="R454" s="12" t="str">
        <x:v>quirk: openTell | grantsFirstCounterFree True</x:v>
      </x:c>
      <x:c r="S454" s="12" t="str">
        <x:v>7ee17613e073</x:v>
      </x:c>
      <x:c r="T454" s="12" t="n">
        <x:f>COUNTIF($S$2:$S$757,S454)</x:f>
        <x:v>1</x:v>
      </x:c>
      <x:c r="U454" s="12" t="str">
        <x:f>IF(T454=1,"OK","DUPLICATE")</x:f>
        <x:v>OK</x:v>
      </x:c>
    </x:row>
    <x:row r="455" ht="39.599998474121094" hidden="0" customHeight="1">
      <x:c r="A455" s="12" t="str">
        <x:v>Oxidized Beacon Guard</x:v>
      </x:c>
      <x:c r="B455" s="12" t="str">
        <x:v>OXIDIZED BEACON SHIELD</x:v>
      </x:c>
      <x:c r="C455" s="12" t="str">
        <x:v>offhand</x:v>
      </x:c>
      <x:c r="D455" s="12" t="str">
        <x:v>shield</x:v>
      </x:c>
      <x:c r="E455" s="12" t="str">
        <x:v>early</x:v>
      </x:c>
      <x:c r="F455" s="12" t="str">
        <x:v>common</x:v>
      </x:c>
      <x:c r="G455" s="12" t="str">
        <x:v>Oxidized Beacon Guard — Answering Bash</x:v>
      </x:c>
      <x:c r="H455" s="34" t="n">
        <x:v>1</x:v>
      </x:c>
      <x:c r="I455" s="34" t="str">
        <x:v>reaction</x:v>
      </x:c>
      <x:c r="J455" s="34" t="n">
        <x:v>3</x:v>
      </x:c>
      <x:c r="K455" s="34" t="str"/>
      <x:c r="L455" s="34" t="n">
        <x:v>0</x:v>
      </x:c>
      <x:c r="M455" s="12" t="str"/>
      <x:c r="N455" s="12" t="str">
        <x:v>Defensive, Counter, Party</x:v>
      </x:c>
      <x:c r="O455" s="12" t="str">
        <x:v>Counter for 3 damage after blocking. Costs 0 if it is this equipment’s first Counter of the battle.</x:v>
      </x:c>
      <x:c r="P455" s="12" t="str">
        <x:v>After this survivor blocks or prevents damage, Counter for 3 damage. If firstCounterUsed[oxidizedBeaconGuard] is false this battle, pay 0 and then set it true. If a tell is Open, add +2 to the listed damage or block value.</x:v>
      </x:c>
      <x:c r="Q455" s="12" t="str">
        <x:v>YES</x:v>
      </x:c>
      <x:c r="R455" s="12" t="str">
        <x:v>quirk: openTell | countsAsCounter True, firstCounterFree True, counterFreeScope perBattlePerEquipment</x:v>
      </x:c>
      <x:c r="S455" s="12" t="str">
        <x:v>955bd3ee15ee</x:v>
      </x:c>
      <x:c r="T455" s="12" t="n">
        <x:f>COUNTIF($S$2:$S$757,S455)</x:f>
        <x:v>1</x:v>
      </x:c>
      <x:c r="U455" s="12" t="str">
        <x:f>IF(T455=1,"OK","DUPLICATE")</x:f>
        <x:v>OK</x:v>
      </x:c>
    </x:row>
    <x:row r="456" ht="39.599998474121094" hidden="0" customHeight="1">
      <x:c r="A456" s="12" t="str">
        <x:v>Oxidized Beast Katar</x:v>
      </x:c>
      <x:c r="B456" s="12" t="str">
        <x:v>OXIDIZED BEAST KATAR</x:v>
      </x:c>
      <x:c r="C456" s="12" t="str">
        <x:v>weapon</x:v>
      </x:c>
      <x:c r="D456" s="12" t="str">
        <x:v>katar</x:v>
      </x:c>
      <x:c r="E456" s="12" t="str">
        <x:v>early</x:v>
      </x:c>
      <x:c r="F456" s="12" t="str">
        <x:v>uncommon</x:v>
      </x:c>
      <x:c r="G456" s="12" t="str">
        <x:v>Oxidized Beast Katar — Opening Cut</x:v>
      </x:c>
      <x:c r="H456" s="34" t="n">
        <x:v>0</x:v>
      </x:c>
      <x:c r="I456" s="34" t="str">
        <x:v>attack</x:v>
      </x:c>
      <x:c r="J456" s="34" t="n">
        <x:v>4</x:v>
      </x:c>
      <x:c r="K456" s="34" t="n">
        <x:v>2</x:v>
      </x:c>
      <x:c r="L456" s="34" t="str"/>
      <x:c r="M456" s="12" t="str">
        <x:v>Bleed 3 | Target: White Lion</x:v>
      </x:c>
      <x:c r="N456" s="12" t="str">
        <x:v>Quick, Predator, Precise, Attack</x:v>
      </x:c>
      <x:c r="O456" s="12" t="str">
        <x:v>Deal 4 damage. Apply Bleed 3 if the target has a White Lion weak point, otherwise gain Marked 1.</x:v>
      </x:c>
      <x:c r="P456" s="12" t="str">
        <x:v>Deal 4 damage with Oxidized Beast Katar. Apply Bleed 3 against a matching White Lion weak point; otherwise apply Marked 1. The quarry targets this survivor next unless another card redirects it.</x:v>
      </x:c>
      <x:c r="Q456" s="12" t="str"/>
      <x:c r="R456" s="12" t="str">
        <x:v>quirk: bait</x:v>
      </x:c>
      <x:c r="S456" s="12" t="str">
        <x:v>24fc07eb7668</x:v>
      </x:c>
      <x:c r="T456" s="12" t="n">
        <x:f>COUNTIF($S$2:$S$757,S456)</x:f>
        <x:v>1</x:v>
      </x:c>
      <x:c r="U456" s="12" t="str">
        <x:f>IF(T456=1,"OK","DUPLICATE")</x:f>
        <x:v>OK</x:v>
      </x:c>
    </x:row>
    <x:row r="457" ht="26.399999618530273" hidden="0" customHeight="1">
      <x:c r="A457" s="12" t="str">
        <x:v>Oxidized Beast Katar</x:v>
      </x:c>
      <x:c r="B457" s="12" t="str">
        <x:v>OXIDIZED BEAST KATAR</x:v>
      </x:c>
      <x:c r="C457" s="12" t="str">
        <x:v>weapon</x:v>
      </x:c>
      <x:c r="D457" s="12" t="str">
        <x:v>katar</x:v>
      </x:c>
      <x:c r="E457" s="12" t="str">
        <x:v>early</x:v>
      </x:c>
      <x:c r="F457" s="12" t="str">
        <x:v>uncommon</x:v>
      </x:c>
      <x:c r="G457" s="12" t="str">
        <x:v>Oxidized Beast Katar — Technique</x:v>
      </x:c>
      <x:c r="H457" s="34" t="n">
        <x:v>2</x:v>
      </x:c>
      <x:c r="I457" s="34" t="str">
        <x:v>skill</x:v>
      </x:c>
      <x:c r="J457" s="34" t="str"/>
      <x:c r="K457" s="34" t="str"/>
      <x:c r="L457" s="34" t="n">
        <x:v>3</x:v>
      </x:c>
      <x:c r="M457" s="12" t="str">
        <x:v>Opens: True</x:v>
      </x:c>
      <x:c r="N457" s="12" t="str">
        <x:v>Quick, Predator, Precise, Setup</x:v>
      </x:c>
      <x:c r="O457" s="12" t="str">
        <x:v>Prepare a crossing slash; if the quarry has Bleed, add +2 damage. Also gain 3 block.</x:v>
      </x:c>
      <x:c r="P457" s="12" t="str">
        <x:v>Prepare a crossing slash; if the quarry has Bleed, add +2 damage. Gain 3 block. The quarry targets this survivor next unless another card redirects it.</x:v>
      </x:c>
      <x:c r="Q457" s="12" t="str"/>
      <x:c r="R457" s="12" t="str">
        <x:v>quirk: bait</x:v>
      </x:c>
      <x:c r="S457" s="12" t="str">
        <x:v>807378b14684</x:v>
      </x:c>
      <x:c r="T457" s="12" t="n">
        <x:f>COUNTIF($S$2:$S$757,S457)</x:f>
        <x:v>1</x:v>
      </x:c>
      <x:c r="U457" s="12" t="str">
        <x:f>IF(T457=1,"OK","DUPLICATE")</x:f>
        <x:v>OK</x:v>
      </x:c>
    </x:row>
    <x:row r="458" ht="26.399999618530273" hidden="0" customHeight="1">
      <x:c r="A458" s="12" t="str">
        <x:v>Oxidized Beast Katar</x:v>
      </x:c>
      <x:c r="B458" s="12" t="str">
        <x:v>OXIDIZED BEAST KATAR</x:v>
      </x:c>
      <x:c r="C458" s="12" t="str">
        <x:v>weapon</x:v>
      </x:c>
      <x:c r="D458" s="12" t="str">
        <x:v>katar</x:v>
      </x:c>
      <x:c r="E458" s="12" t="str">
        <x:v>early</x:v>
      </x:c>
      <x:c r="F458" s="12" t="str">
        <x:v>uncommon</x:v>
      </x:c>
      <x:c r="G458" s="12" t="str">
        <x:v>Oxidized Beast Katar — Payoff</x:v>
      </x:c>
      <x:c r="H458" s="34" t="n">
        <x:v>2</x:v>
      </x:c>
      <x:c r="I458" s="34" t="str">
        <x:v>attack</x:v>
      </x:c>
      <x:c r="J458" s="34" t="n">
        <x:v>5</x:v>
      </x:c>
      <x:c r="K458" s="34" t="n">
        <x:v>3</x:v>
      </x:c>
      <x:c r="L458" s="34" t="str"/>
      <x:c r="M458" s="12" t="str">
        <x:v>Bleed 2</x:v>
      </x:c>
      <x:c r="N458" s="12" t="str">
        <x:v>Quick, Predator, Precise, Payoff, WeakPoint</x:v>
      </x:c>
      <x:c r="O458" s="12" t="str">
        <x:v>Deal 5 damage and 3 break damage. If this breaks a weak point, resolve Bleed 2 and the bait rider.</x:v>
      </x:c>
      <x:c r="P458" s="12" t="str">
        <x:v>Deal 5 damage and 3 break damage. If the weak point breaks, apply Bleed 2 and resolve: The quarry targets this survivor next unless another card redirects it.</x:v>
      </x:c>
      <x:c r="Q458" s="12" t="str"/>
      <x:c r="R458" s="12" t="str">
        <x:v>quirk: bait | countsAsCounter False, firstCounterFree False</x:v>
      </x:c>
      <x:c r="S458" s="12" t="str">
        <x:v>af6a61760337</x:v>
      </x:c>
      <x:c r="T458" s="12" t="n">
        <x:f>COUNTIF($S$2:$S$757,S458)</x:f>
        <x:v>1</x:v>
      </x:c>
      <x:c r="U458" s="12" t="str">
        <x:f>IF(T458=1,"OK","DUPLICATE")</x:f>
        <x:v>OK</x:v>
      </x:c>
    </x:row>
    <x:row r="459" ht="39.599998474121094" hidden="0" customHeight="1">
      <x:c r="A459" s="12" t="str">
        <x:v>Oxidized Lantern Knife</x:v>
      </x:c>
      <x:c r="B459" s="12" t="str">
        <x:v>OXIDIZED LANTERN DAGGER</x:v>
      </x:c>
      <x:c r="C459" s="12" t="str">
        <x:v>weapon</x:v>
      </x:c>
      <x:c r="D459" s="12" t="str">
        <x:v>dagger</x:v>
      </x:c>
      <x:c r="E459" s="12" t="str">
        <x:v>early</x:v>
      </x:c>
      <x:c r="F459" s="12" t="str">
        <x:v>common</x:v>
      </x:c>
      <x:c r="G459" s="12" t="str">
        <x:v>Oxidized Lantern Knife — Opening Cut</x:v>
      </x:c>
      <x:c r="H459" s="34" t="n">
        <x:v>0</x:v>
      </x:c>
      <x:c r="I459" s="34" t="str">
        <x:v>attack</x:v>
      </x:c>
      <x:c r="J459" s="34" t="n">
        <x:v>2</x:v>
      </x:c>
      <x:c r="K459" s="34" t="n">
        <x:v>0</x:v>
      </x:c>
      <x:c r="L459" s="34" t="str"/>
      <x:c r="M459" s="12" t="str">
        <x:v>Bleed 1 | Target: Settlement</x:v>
      </x:c>
      <x:c r="N459" s="12" t="str">
        <x:v>Quick, Precise, Harvest, Attack</x:v>
      </x:c>
      <x:c r="O459" s="12" t="str">
        <x:v>Deal 2 damage. Apply Bleed 1 if the target has a Settlement weak point, otherwise gain Marked 1.</x:v>
      </x:c>
      <x:c r="P459" s="12" t="str">
        <x:v>Deal 2 damage with Oxidized Lantern Knife. Apply Bleed 1 against a matching Settlement weak point; otherwise apply Marked 1. If you have no Bleed, Poison or Burn, add +1 to all listed values.</x:v>
      </x:c>
      <x:c r="Q459" s="12" t="str"/>
      <x:c r="R459" s="12" t="str">
        <x:v>quirk: cleanHands</x:v>
      </x:c>
      <x:c r="S459" s="12" t="str">
        <x:v>4175d19d098e</x:v>
      </x:c>
      <x:c r="T459" s="12" t="n">
        <x:f>COUNTIF($S$2:$S$757,S459)</x:f>
        <x:v>1</x:v>
      </x:c>
      <x:c r="U459" s="12" t="str">
        <x:f>IF(T459=1,"OK","DUPLICATE")</x:f>
        <x:v>OK</x:v>
      </x:c>
    </x:row>
    <x:row r="460" ht="26.399999618530273" hidden="0" customHeight="1">
      <x:c r="A460" s="12" t="str">
        <x:v>Oxidized Lantern Knife</x:v>
      </x:c>
      <x:c r="B460" s="12" t="str">
        <x:v>OXIDIZED LANTERN DAGGER</x:v>
      </x:c>
      <x:c r="C460" s="12" t="str">
        <x:v>weapon</x:v>
      </x:c>
      <x:c r="D460" s="12" t="str">
        <x:v>dagger</x:v>
      </x:c>
      <x:c r="E460" s="12" t="str">
        <x:v>early</x:v>
      </x:c>
      <x:c r="F460" s="12" t="str">
        <x:v>common</x:v>
      </x:c>
      <x:c r="G460" s="12" t="str">
        <x:v>Oxidized Lantern Knife — Technique</x:v>
      </x:c>
      <x:c r="H460" s="34" t="n">
        <x:v>1</x:v>
      </x:c>
      <x:c r="I460" s="34" t="str">
        <x:v>skill</x:v>
      </x:c>
      <x:c r="J460" s="34" t="str"/>
      <x:c r="K460" s="34" t="str"/>
      <x:c r="L460" s="34" t="n">
        <x:v>1</x:v>
      </x:c>
      <x:c r="M460" s="12" t="str">
        <x:v>Opens: True</x:v>
      </x:c>
      <x:c r="N460" s="12" t="str">
        <x:v>Quick, Precise, Harvest, Setup</x:v>
      </x:c>
      <x:c r="O460" s="12" t="str">
        <x:v>Expose a fragile weak point; next knife attack gains +2 break damage. Also gain 1 block.</x:v>
      </x:c>
      <x:c r="P460" s="12" t="str">
        <x:v>Expose a fragile weak point; next knife attack gains +2 break damage. Gain 1 block. If you have no Bleed, Poison or Burn, add +1 to all listed values.</x:v>
      </x:c>
      <x:c r="Q460" s="12" t="str"/>
      <x:c r="R460" s="12" t="str">
        <x:v>quirk: cleanHands</x:v>
      </x:c>
      <x:c r="S460" s="12" t="str">
        <x:v>6a7d8934cbe5</x:v>
      </x:c>
      <x:c r="T460" s="12" t="n">
        <x:f>COUNTIF($S$2:$S$757,S460)</x:f>
        <x:v>1</x:v>
      </x:c>
      <x:c r="U460" s="12" t="str">
        <x:f>IF(T460=1,"OK","DUPLICATE")</x:f>
        <x:v>OK</x:v>
      </x:c>
    </x:row>
    <x:row r="461" ht="26.399999618530273" hidden="0" customHeight="1">
      <x:c r="A461" s="12" t="str">
        <x:v>Oxidized Lantern Knife</x:v>
      </x:c>
      <x:c r="B461" s="12" t="str">
        <x:v>OXIDIZED LANTERN DAGGER</x:v>
      </x:c>
      <x:c r="C461" s="12" t="str">
        <x:v>weapon</x:v>
      </x:c>
      <x:c r="D461" s="12" t="str">
        <x:v>dagger</x:v>
      </x:c>
      <x:c r="E461" s="12" t="str">
        <x:v>early</x:v>
      </x:c>
      <x:c r="F461" s="12" t="str">
        <x:v>common</x:v>
      </x:c>
      <x:c r="G461" s="12" t="str">
        <x:v>Oxidized Lantern Knife — Payoff</x:v>
      </x:c>
      <x:c r="H461" s="34" t="n">
        <x:v>2</x:v>
      </x:c>
      <x:c r="I461" s="34" t="str">
        <x:v>attack</x:v>
      </x:c>
      <x:c r="J461" s="34" t="n">
        <x:v>5</x:v>
      </x:c>
      <x:c r="K461" s="34" t="n">
        <x:v>1</x:v>
      </x:c>
      <x:c r="L461" s="34" t="str"/>
      <x:c r="M461" s="12" t="str">
        <x:v>Bleed 1</x:v>
      </x:c>
      <x:c r="N461" s="12" t="str">
        <x:v>Quick, Precise, Harvest, Payoff, WeakPoint</x:v>
      </x:c>
      <x:c r="O461" s="12" t="str">
        <x:v>Deal 5 damage and 1 break damage. If this breaks a weak point, resolve Bleed 1 and the cleanHands rider.</x:v>
      </x:c>
      <x:c r="P461" s="12" t="str">
        <x:v>Deal 5 damage and 1 break damage. If the weak point breaks, apply Bleed 1 and resolve: If you have no Bleed, Poison or Burn, add +1 to all listed values.</x:v>
      </x:c>
      <x:c r="Q461" s="12" t="str"/>
      <x:c r="R461" s="12" t="str">
        <x:v>quirk: cleanHands | countsAsCounter False, firstCounterFree False</x:v>
      </x:c>
      <x:c r="S461" s="12" t="str">
        <x:v>223bb84f8744</x:v>
      </x:c>
      <x:c r="T461" s="12" t="n">
        <x:f>COUNTIF($S$2:$S$757,S461)</x:f>
        <x:v>1</x:v>
      </x:c>
      <x:c r="U461" s="12" t="str">
        <x:f>IF(T461=1,"OK","DUPLICATE")</x:f>
        <x:v>OK</x:v>
      </x:c>
    </x:row>
    <x:row r="462" ht="39.599998474121094" hidden="0" customHeight="1">
      <x:c r="A462" s="12" t="str">
        <x:v>Oxidized Lantern Glaive</x:v>
      </x:c>
      <x:c r="B462" s="12" t="str">
        <x:v>OXIDIZED LANTERN GLAIVE</x:v>
      </x:c>
      <x:c r="C462" s="12" t="str">
        <x:v>weapon</x:v>
      </x:c>
      <x:c r="D462" s="12" t="str">
        <x:v>spear</x:v>
      </x:c>
      <x:c r="E462" s="12" t="str">
        <x:v>early</x:v>
      </x:c>
      <x:c r="F462" s="12" t="str">
        <x:v>common</x:v>
      </x:c>
      <x:c r="G462" s="12" t="str">
        <x:v>Oxidized Lantern Glaive — Opening Strike</x:v>
      </x:c>
      <x:c r="H462" s="34" t="n">
        <x:v>1</x:v>
      </x:c>
      <x:c r="I462" s="34" t="str">
        <x:v>attack</x:v>
      </x:c>
      <x:c r="J462" s="34" t="n">
        <x:v>4</x:v>
      </x:c>
      <x:c r="K462" s="34" t="n">
        <x:v>2</x:v>
      </x:c>
      <x:c r="L462" s="34" t="str"/>
      <x:c r="M462" s="12" t="str">
        <x:v>Burn 2 | Target: Settlement</x:v>
      </x:c>
      <x:c r="N462" s="12" t="str">
        <x:v>Reach, Defensive, WeakPoint, Attack</x:v>
      </x:c>
      <x:c r="O462" s="12" t="str">
        <x:v>Deal 4 damage. Apply Burn 2 if the target has a Settlement weak point, otherwise gain Marked 1.</x:v>
      </x:c>
      <x:c r="P462" s="12" t="str">
        <x:v>Deal 4 damage with Oxidized Lantern Glaive. Apply Burn 2 against a matching Settlement weak point; otherwise apply Marked 1. If this would drop you to 0 HP, resolve the card first, then die if still at 0 HP.</x:v>
      </x:c>
      <x:c r="Q462" s="12" t="str"/>
      <x:c r="R462" s="12" t="str">
        <x:v>quirk: lastLight</x:v>
      </x:c>
      <x:c r="S462" s="12" t="str">
        <x:v>2f0c287a9d53</x:v>
      </x:c>
      <x:c r="T462" s="12" t="n">
        <x:f>COUNTIF($S$2:$S$757,S462)</x:f>
        <x:v>1</x:v>
      </x:c>
      <x:c r="U462" s="12" t="str">
        <x:f>IF(T462=1,"OK","DUPLICATE")</x:f>
        <x:v>OK</x:v>
      </x:c>
    </x:row>
    <x:row r="463" ht="26.399999618530273" hidden="0" customHeight="1">
      <x:c r="A463" s="12" t="str">
        <x:v>Oxidized Lantern Glaive</x:v>
      </x:c>
      <x:c r="B463" s="12" t="str">
        <x:v>OXIDIZED LANTERN GLAIVE</x:v>
      </x:c>
      <x:c r="C463" s="12" t="str">
        <x:v>weapon</x:v>
      </x:c>
      <x:c r="D463" s="12" t="str">
        <x:v>spear</x:v>
      </x:c>
      <x:c r="E463" s="12" t="str">
        <x:v>early</x:v>
      </x:c>
      <x:c r="F463" s="12" t="str">
        <x:v>common</x:v>
      </x:c>
      <x:c r="G463" s="12" t="str">
        <x:v>Oxidized Lantern Glaive — Technique</x:v>
      </x:c>
      <x:c r="H463" s="34" t="n">
        <x:v>2</x:v>
      </x:c>
      <x:c r="I463" s="34" t="str">
        <x:v>skill</x:v>
      </x:c>
      <x:c r="J463" s="34" t="str"/>
      <x:c r="K463" s="34" t="str"/>
      <x:c r="L463" s="34" t="n">
        <x:v>2</x:v>
      </x:c>
      <x:c r="M463" s="12" t="str">
        <x:v>Opens: True</x:v>
      </x:c>
      <x:c r="N463" s="12" t="str">
        <x:v>Reach, Defensive, WeakPoint, Setup</x:v>
      </x:c>
      <x:c r="O463" s="12" t="str">
        <x:v>Hold at reach; apply Snared 1 and gain Guarded 1 before retaliation. Also gain 2 block.</x:v>
      </x:c>
      <x:c r="P463" s="12" t="str">
        <x:v>Hold at reach; apply Snared 1 and gain Guarded 1 before retaliation. Gain 2 block. If this would drop you to 0 HP, resolve the card first, then die if still at 0 HP.</x:v>
      </x:c>
      <x:c r="Q463" s="12" t="str"/>
      <x:c r="R463" s="12" t="str">
        <x:v>quirk: lastLight</x:v>
      </x:c>
      <x:c r="S463" s="12" t="str">
        <x:v>c42a8c5f7ba8</x:v>
      </x:c>
      <x:c r="T463" s="12" t="n">
        <x:f>COUNTIF($S$2:$S$757,S463)</x:f>
        <x:v>1</x:v>
      </x:c>
      <x:c r="U463" s="12" t="str">
        <x:f>IF(T463=1,"OK","DUPLICATE")</x:f>
        <x:v>OK</x:v>
      </x:c>
    </x:row>
    <x:row r="464" ht="26.399999618530273" hidden="0" customHeight="1">
      <x:c r="A464" s="12" t="str">
        <x:v>Oxidized Lantern Glaive</x:v>
      </x:c>
      <x:c r="B464" s="12" t="str">
        <x:v>OXIDIZED LANTERN GLAIVE</x:v>
      </x:c>
      <x:c r="C464" s="12" t="str">
        <x:v>weapon</x:v>
      </x:c>
      <x:c r="D464" s="12" t="str">
        <x:v>spear</x:v>
      </x:c>
      <x:c r="E464" s="12" t="str">
        <x:v>early</x:v>
      </x:c>
      <x:c r="F464" s="12" t="str">
        <x:v>common</x:v>
      </x:c>
      <x:c r="G464" s="12" t="str">
        <x:v>Oxidized Lantern Glaive — Payoff</x:v>
      </x:c>
      <x:c r="H464" s="34" t="n">
        <x:v>2</x:v>
      </x:c>
      <x:c r="I464" s="34" t="str">
        <x:v>attack</x:v>
      </x:c>
      <x:c r="J464" s="34" t="n">
        <x:v>8</x:v>
      </x:c>
      <x:c r="K464" s="34" t="n">
        <x:v>3</x:v>
      </x:c>
      <x:c r="L464" s="34" t="str"/>
      <x:c r="M464" s="12" t="str">
        <x:v>Burn 1</x:v>
      </x:c>
      <x:c r="N464" s="12" t="str">
        <x:v>Reach, Defensive, WeakPoint, Payoff</x:v>
      </x:c>
      <x:c r="O464" s="12" t="str">
        <x:v>Deal 8 damage and 3 break damage. If this breaks a weak point, resolve Burn 1 and the lastLight rider.</x:v>
      </x:c>
      <x:c r="P464" s="12" t="str">
        <x:v>Deal 8 damage and 3 break damage. If the weak point breaks, apply Burn 1 and resolve: If this would drop you to 0 HP, resolve the card first, then die if still at 0 HP.</x:v>
      </x:c>
      <x:c r="Q464" s="12" t="str"/>
      <x:c r="R464" s="12" t="str">
        <x:v>quirk: lastLight | countsAsCounter False, firstCounterFree False</x:v>
      </x:c>
      <x:c r="S464" s="12" t="str">
        <x:v>ad51c3fa3201</x:v>
      </x:c>
      <x:c r="T464" s="12" t="n">
        <x:f>COUNTIF($S$2:$S$757,S464)</x:f>
        <x:v>1</x:v>
      </x:c>
      <x:c r="U464" s="12" t="str">
        <x:f>IF(T464=1,"OK","DUPLICATE")</x:f>
        <x:v>OK</x:v>
      </x:c>
    </x:row>
    <x:row r="465" ht="39.599998474121094" hidden="0" customHeight="1">
      <x:c r="A465" s="12" t="str">
        <x:v>Oxidized Lantern Crown</x:v>
      </x:c>
      <x:c r="B465" s="12" t="str">
        <x:v>OXIDIZED LANTERN HELM</x:v>
      </x:c>
      <x:c r="C465" s="12" t="str">
        <x:v>head</x:v>
      </x:c>
      <x:c r="D465" s="12" t="str">
        <x:v>armor</x:v>
      </x:c>
      <x:c r="E465" s="12" t="str">
        <x:v>early</x:v>
      </x:c>
      <x:c r="F465" s="12" t="str">
        <x:v>common</x:v>
      </x:c>
      <x:c r="G465" s="12" t="str">
        <x:v>Oxidized Lantern Crown — Brace</x:v>
      </x:c>
      <x:c r="H465" s="34" t="n">
        <x:v>1</x:v>
      </x:c>
      <x:c r="I465" s="34" t="str">
        <x:v>skill</x:v>
      </x:c>
      <x:c r="J465" s="34" t="str"/>
      <x:c r="K465" s="34" t="str"/>
      <x:c r="L465" s="34" t="n">
        <x:v>2</x:v>
      </x:c>
      <x:c r="M465" s="12" t="str"/>
      <x:c r="N465" s="12" t="str">
        <x:v>Defensive, Party, WoundCare</x:v>
      </x:c>
      <x:c r="O465" s="12" t="str">
        <x:v>Gain 2 block and Guarded 3. If hit before your next turn, reduce Poison or Panic by 1.</x:v>
      </x:c>
      <x:c r="P465" s="12" t="str">
        <x:v>Gain 2 block and Guarded 3. If the next monster hit lands before your next turn, reduce Poison or Panic by 1 after damage. If the quarry is Marked, draw 1 then discard 1.</x:v>
      </x:c>
      <x:c r="Q465" s="12" t="str"/>
      <x:c r="R465" s="12" t="str">
        <x:v>quirk: marked</x:v>
      </x:c>
      <x:c r="S465" s="12" t="str">
        <x:v>dbecfc7742a9</x:v>
      </x:c>
      <x:c r="T465" s="12" t="n">
        <x:f>COUNTIF($S$2:$S$757,S465)</x:f>
        <x:v>1</x:v>
      </x:c>
      <x:c r="U465" s="12" t="str">
        <x:f>IF(T465=1,"OK","DUPLICATE")</x:f>
        <x:v>OK</x:v>
      </x:c>
    </x:row>
    <x:row r="466" ht="26.399999618530273" hidden="0" customHeight="1">
      <x:c r="A466" s="12" t="str">
        <x:v>Oxidized Lantern Crown</x:v>
      </x:c>
      <x:c r="B466" s="12" t="str">
        <x:v>OXIDIZED LANTERN HELM</x:v>
      </x:c>
      <x:c r="C466" s="12" t="str">
        <x:v>head</x:v>
      </x:c>
      <x:c r="D466" s="12" t="str">
        <x:v>armor</x:v>
      </x:c>
      <x:c r="E466" s="12" t="str">
        <x:v>early</x:v>
      </x:c>
      <x:c r="F466" s="12" t="str">
        <x:v>common</x:v>
      </x:c>
      <x:c r="G466" s="12" t="str">
        <x:v>Oxidized Lantern Crown — Fitted Plate</x:v>
      </x:c>
      <x:c r="H466" s="34" t="n">
        <x:v>1</x:v>
      </x:c>
      <x:c r="I466" s="34" t="str">
        <x:v>reaction</x:v>
      </x:c>
      <x:c r="J466" s="34" t="str"/>
      <x:c r="K466" s="34" t="str"/>
      <x:c r="L466" s="34" t="n">
        <x:v>5</x:v>
      </x:c>
      <x:c r="M466" s="12" t="str"/>
      <x:c r="N466" s="12" t="str">
        <x:v>Defensive, Party, WoundCare, Reaction</x:v>
      </x:c>
      <x:c r="O466" s="12" t="str">
        <x:v>After damage is previewed, prevent 5 damage. Then give the next ally Guarded 1.</x:v>
      </x:c>
      <x:c r="P466" s="12" t="str">
        <x:v>After incoming damage is previewed, prevent 5 damage with the head slot. Then the next ally gains Guarded 1. If the quarry is Marked, draw 1 then discard 1.</x:v>
      </x:c>
      <x:c r="Q466" s="12" t="str"/>
      <x:c r="R466" s="12" t="str">
        <x:v>quirk: marked</x:v>
      </x:c>
      <x:c r="S466" s="12" t="str">
        <x:v>ea8ac1da1a41</x:v>
      </x:c>
      <x:c r="T466" s="12" t="n">
        <x:f>COUNTIF($S$2:$S$757,S466)</x:f>
        <x:v>1</x:v>
      </x:c>
      <x:c r="U466" s="12" t="str">
        <x:f>IF(T466=1,"OK","DUPLICATE")</x:f>
        <x:v>OK</x:v>
      </x:c>
    </x:row>
    <x:row r="467" ht="39.599998474121094" hidden="0" customHeight="1">
      <x:c r="A467" s="12" t="str">
        <x:v>Oxidized Lantern Blade</x:v>
      </x:c>
      <x:c r="B467" s="12" t="str">
        <x:v>OXIDIZED LANTERN SWORD</x:v>
      </x:c>
      <x:c r="C467" s="12" t="str">
        <x:v>weapon</x:v>
      </x:c>
      <x:c r="D467" s="12" t="str">
        <x:v>sword</x:v>
      </x:c>
      <x:c r="E467" s="12" t="str">
        <x:v>early</x:v>
      </x:c>
      <x:c r="F467" s="12" t="str">
        <x:v>common</x:v>
      </x:c>
      <x:c r="G467" s="12" t="str">
        <x:v>Oxidized Lantern Blade — Opening Cut</x:v>
      </x:c>
      <x:c r="H467" s="34" t="n">
        <x:v>1</x:v>
      </x:c>
      <x:c r="I467" s="34" t="str">
        <x:v>attack</x:v>
      </x:c>
      <x:c r="J467" s="34" t="n">
        <x:v>4</x:v>
      </x:c>
      <x:c r="K467" s="34" t="n">
        <x:v>1</x:v>
      </x:c>
      <x:c r="L467" s="34" t="str"/>
      <x:c r="M467" s="12" t="str">
        <x:v>Snared 1 | Target: Settlement</x:v>
      </x:c>
      <x:c r="N467" s="12" t="str">
        <x:v>Precise, Marking, Counter, Attack</x:v>
      </x:c>
      <x:c r="O467" s="12" t="str">
        <x:v>Deal 4 damage. Apply Snared 1 if the target has a Settlement weak point, otherwise gain Marked 1.</x:v>
      </x:c>
      <x:c r="P467" s="12" t="str">
        <x:v>Deal 4 damage with Oxidized Lantern Blade. Apply Snared 1 against a matching Settlement weak point; otherwise apply Marked 1. If you already played an attack this turn, add +1 damage or +1 block.</x:v>
      </x:c>
      <x:c r="Q467" s="12" t="str"/>
      <x:c r="R467" s="12" t="str">
        <x:v>quirk: followUp</x:v>
      </x:c>
      <x:c r="S467" s="12" t="str">
        <x:v>becfd02bfc0d</x:v>
      </x:c>
      <x:c r="T467" s="12" t="n">
        <x:f>COUNTIF($S$2:$S$757,S467)</x:f>
        <x:v>1</x:v>
      </x:c>
      <x:c r="U467" s="12" t="str">
        <x:f>IF(T467=1,"OK","DUPLICATE")</x:f>
        <x:v>OK</x:v>
      </x:c>
    </x:row>
    <x:row r="468" ht="39.599998474121094" hidden="0" customHeight="1">
      <x:c r="A468" s="12" t="str">
        <x:v>Oxidized Lantern Blade</x:v>
      </x:c>
      <x:c r="B468" s="12" t="str">
        <x:v>OXIDIZED LANTERN SWORD</x:v>
      </x:c>
      <x:c r="C468" s="12" t="str">
        <x:v>weapon</x:v>
      </x:c>
      <x:c r="D468" s="12" t="str">
        <x:v>sword</x:v>
      </x:c>
      <x:c r="E468" s="12" t="str">
        <x:v>early</x:v>
      </x:c>
      <x:c r="F468" s="12" t="str">
        <x:v>common</x:v>
      </x:c>
      <x:c r="G468" s="12" t="str">
        <x:v>Oxidized Lantern Blade — Technique</x:v>
      </x:c>
      <x:c r="H468" s="34" t="n">
        <x:v>2</x:v>
      </x:c>
      <x:c r="I468" s="34" t="str">
        <x:v>skill</x:v>
      </x:c>
      <x:c r="J468" s="34" t="str"/>
      <x:c r="K468" s="34" t="str"/>
      <x:c r="L468" s="34" t="n">
        <x:v>1</x:v>
      </x:c>
      <x:c r="M468" s="12" t="str">
        <x:v>Opens: True</x:v>
      </x:c>
      <x:c r="N468" s="12" t="str">
        <x:v>Precise, Marking, Counter, Setup</x:v>
      </x:c>
      <x:c r="O468" s="12" t="str">
        <x:v>Set a parry line; your next Counter with this equipment costs 0 if it is the first Counter this battle. Also gain 1 block.</x:v>
      </x:c>
      <x:c r="P468" s="12" t="str">
        <x:v>Set a parry line; your next Counter with this equipment costs 0 if it is the first Counter this battle. Gain 1 block. If you already played an attack this turn, add +1 damage or +1 block.</x:v>
      </x:c>
      <x:c r="Q468" s="12" t="str">
        <x:v>YES</x:v>
      </x:c>
      <x:c r="R468" s="12" t="str">
        <x:v>quirk: followUp</x:v>
      </x:c>
      <x:c r="S468" s="12" t="str">
        <x:v>a8475b52091f</x:v>
      </x:c>
      <x:c r="T468" s="12" t="n">
        <x:f>COUNTIF($S$2:$S$757,S468)</x:f>
        <x:v>1</x:v>
      </x:c>
      <x:c r="U468" s="12" t="str">
        <x:f>IF(T468=1,"OK","DUPLICATE")</x:f>
        <x:v>OK</x:v>
      </x:c>
    </x:row>
    <x:row r="469" ht="26.399999618530273" hidden="0" customHeight="1">
      <x:c r="A469" s="12" t="str">
        <x:v>Oxidized Lantern Blade</x:v>
      </x:c>
      <x:c r="B469" s="12" t="str">
        <x:v>OXIDIZED LANTERN SWORD</x:v>
      </x:c>
      <x:c r="C469" s="12" t="str">
        <x:v>weapon</x:v>
      </x:c>
      <x:c r="D469" s="12" t="str">
        <x:v>sword</x:v>
      </x:c>
      <x:c r="E469" s="12" t="str">
        <x:v>early</x:v>
      </x:c>
      <x:c r="F469" s="12" t="str">
        <x:v>common</x:v>
      </x:c>
      <x:c r="G469" s="12" t="str">
        <x:v>Oxidized Lantern Blade — Payoff</x:v>
      </x:c>
      <x:c r="H469" s="34" t="n">
        <x:v>2</x:v>
      </x:c>
      <x:c r="I469" s="34" t="str">
        <x:v>reaction</x:v>
      </x:c>
      <x:c r="J469" s="34" t="n">
        <x:v>6</x:v>
      </x:c>
      <x:c r="K469" s="34" t="n">
        <x:v>2</x:v>
      </x:c>
      <x:c r="L469" s="34" t="str"/>
      <x:c r="M469" s="12" t="str">
        <x:v>Snared 1</x:v>
      </x:c>
      <x:c r="N469" s="12" t="str">
        <x:v>Precise, Marking, Counter, Payoff, WeakPoint</x:v>
      </x:c>
      <x:c r="O469" s="12" t="str">
        <x:v>Deal 6 damage and 2 break damage. If this breaks a weak point, resolve Snared 1 and the followUp rider.</x:v>
      </x:c>
      <x:c r="P469" s="12" t="str">
        <x:v>Deal 6 damage and 2 break damage. If the weak point breaks, apply Snared 1 and resolve: If you already played an attack this turn, add +1 damage or +1 block.</x:v>
      </x:c>
      <x:c r="Q469" s="12" t="str">
        <x:v>YES</x:v>
      </x:c>
      <x:c r="R469" s="12" t="str">
        <x:v>quirk: followUp | countsAsCounter True, firstCounterFree True</x:v>
      </x:c>
      <x:c r="S469" s="12" t="str">
        <x:v>af8f31a53358</x:v>
      </x:c>
      <x:c r="T469" s="12" t="n">
        <x:f>COUNTIF($S$2:$S$757,S469)</x:f>
        <x:v>1</x:v>
      </x:c>
      <x:c r="U469" s="12" t="str">
        <x:f>IF(T469=1,"OK","DUPLICATE")</x:f>
        <x:v>OK</x:v>
      </x:c>
    </x:row>
    <x:row r="470" ht="39.599998474121094" hidden="0" customHeight="1">
      <x:c r="A470" s="12" t="str">
        <x:v>Oxidized Ring Whip</x:v>
      </x:c>
      <x:c r="B470" s="12" t="str">
        <x:v>OXIDIZED RING WHIP</x:v>
      </x:c>
      <x:c r="C470" s="12" t="str">
        <x:v>weapon</x:v>
      </x:c>
      <x:c r="D470" s="12" t="str">
        <x:v>whip</x:v>
      </x:c>
      <x:c r="E470" s="12" t="str">
        <x:v>early</x:v>
      </x:c>
      <x:c r="F470" s="12" t="str">
        <x:v>common</x:v>
      </x:c>
      <x:c r="G470" s="12" t="str">
        <x:v>Oxidized Ring Whip — Opening Strike</x:v>
      </x:c>
      <x:c r="H470" s="34" t="n">
        <x:v>1</x:v>
      </x:c>
      <x:c r="I470" s="34" t="str">
        <x:v>attack</x:v>
      </x:c>
      <x:c r="J470" s="34" t="n">
        <x:v>2</x:v>
      </x:c>
      <x:c r="K470" s="34" t="n">
        <x:v>2</x:v>
      </x:c>
      <x:c r="L470" s="34" t="str"/>
      <x:c r="M470" s="12" t="str">
        <x:v>Shock 2 | Target: Settlement</x:v>
      </x:c>
      <x:c r="N470" s="12" t="str">
        <x:v>Reach, Marking, WeakPoint, Attack</x:v>
      </x:c>
      <x:c r="O470" s="12" t="str">
        <x:v>Deal 2 damage. Apply Shock 2 if the target has a Settlement weak point, otherwise gain Marked 1.</x:v>
      </x:c>
      <x:c r="P470" s="12" t="str">
        <x:v>Deal 2 damage with Oxidized Ring Whip. Apply Shock 2 against a matching Settlement weak point; otherwise apply Marked 1. If the quarry is below half HP, add +1 break damage.</x:v>
      </x:c>
      <x:c r="Q470" s="12" t="str"/>
      <x:c r="R470" s="12" t="str">
        <x:v>quirk: bloodied</x:v>
      </x:c>
      <x:c r="S470" s="12" t="str">
        <x:v>5a128763673c</x:v>
      </x:c>
      <x:c r="T470" s="12" t="n">
        <x:f>COUNTIF($S$2:$S$757,S470)</x:f>
        <x:v>1</x:v>
      </x:c>
      <x:c r="U470" s="12" t="str">
        <x:f>IF(T470=1,"OK","DUPLICATE")</x:f>
        <x:v>OK</x:v>
      </x:c>
    </x:row>
    <x:row r="471" ht="26.399999618530273" hidden="0" customHeight="1">
      <x:c r="A471" s="12" t="str">
        <x:v>Oxidized Ring Whip</x:v>
      </x:c>
      <x:c r="B471" s="12" t="str">
        <x:v>OXIDIZED RING WHIP</x:v>
      </x:c>
      <x:c r="C471" s="12" t="str">
        <x:v>weapon</x:v>
      </x:c>
      <x:c r="D471" s="12" t="str">
        <x:v>whip</x:v>
      </x:c>
      <x:c r="E471" s="12" t="str">
        <x:v>early</x:v>
      </x:c>
      <x:c r="F471" s="12" t="str">
        <x:v>common</x:v>
      </x:c>
      <x:c r="G471" s="12" t="str">
        <x:v>Oxidized Ring Whip — Technique</x:v>
      </x:c>
      <x:c r="H471" s="34" t="n">
        <x:v>1</x:v>
      </x:c>
      <x:c r="I471" s="34" t="str">
        <x:v>skill</x:v>
      </x:c>
      <x:c r="J471" s="34" t="str"/>
      <x:c r="K471" s="34" t="str"/>
      <x:c r="L471" s="34" t="n">
        <x:v>2</x:v>
      </x:c>
      <x:c r="M471" s="12" t="str">
        <x:v>Opens: True</x:v>
      </x:c>
      <x:c r="N471" s="12" t="str">
        <x:v>Reach, Marking, WeakPoint, Setup</x:v>
      </x:c>
      <x:c r="O471" s="12" t="str">
        <x:v>Hook a limb; apply Snared 2, then Open a limb weak point if present. Also gain 2 block.</x:v>
      </x:c>
      <x:c r="P471" s="12" t="str">
        <x:v>Hook a limb; apply Snared 2, then Open a limb weak point if present. Gain 2 block. If the quarry is below half HP, add +1 break damage.</x:v>
      </x:c>
      <x:c r="Q471" s="12" t="str"/>
      <x:c r="R471" s="12" t="str">
        <x:v>quirk: bloodied</x:v>
      </x:c>
      <x:c r="S471" s="12" t="str">
        <x:v>4a63d3a0436d</x:v>
      </x:c>
      <x:c r="T471" s="12" t="n">
        <x:f>COUNTIF($S$2:$S$757,S471)</x:f>
        <x:v>1</x:v>
      </x:c>
      <x:c r="U471" s="12" t="str">
        <x:f>IF(T471=1,"OK","DUPLICATE")</x:f>
        <x:v>OK</x:v>
      </x:c>
    </x:row>
    <x:row r="472" ht="26.399999618530273" hidden="0" customHeight="1">
      <x:c r="A472" s="12" t="str">
        <x:v>Oxidized Ring Whip</x:v>
      </x:c>
      <x:c r="B472" s="12" t="str">
        <x:v>OXIDIZED RING WHIP</x:v>
      </x:c>
      <x:c r="C472" s="12" t="str">
        <x:v>weapon</x:v>
      </x:c>
      <x:c r="D472" s="12" t="str">
        <x:v>whip</x:v>
      </x:c>
      <x:c r="E472" s="12" t="str">
        <x:v>early</x:v>
      </x:c>
      <x:c r="F472" s="12" t="str">
        <x:v>common</x:v>
      </x:c>
      <x:c r="G472" s="12" t="str">
        <x:v>Oxidized Ring Whip — Payoff</x:v>
      </x:c>
      <x:c r="H472" s="34" t="n">
        <x:v>2</x:v>
      </x:c>
      <x:c r="I472" s="34" t="str">
        <x:v>attack</x:v>
      </x:c>
      <x:c r="J472" s="34" t="n">
        <x:v>6</x:v>
      </x:c>
      <x:c r="K472" s="34" t="n">
        <x:v>3</x:v>
      </x:c>
      <x:c r="L472" s="34" t="str"/>
      <x:c r="M472" s="12" t="str">
        <x:v>Shock 1</x:v>
      </x:c>
      <x:c r="N472" s="12" t="str">
        <x:v>Reach, Marking, WeakPoint, Payoff</x:v>
      </x:c>
      <x:c r="O472" s="12" t="str">
        <x:v>Deal 6 damage and 3 break damage. If this breaks a weak point, resolve Shock 1 and the bloodied rider.</x:v>
      </x:c>
      <x:c r="P472" s="12" t="str">
        <x:v>Deal 6 damage and 3 break damage. If the weak point breaks, apply Shock 1 and resolve: If the quarry is below half HP, add +1 break damage.</x:v>
      </x:c>
      <x:c r="Q472" s="12" t="str"/>
      <x:c r="R472" s="12" t="str">
        <x:v>quirk: bloodied | countsAsCounter False, firstCounterFree False</x:v>
      </x:c>
      <x:c r="S472" s="12" t="str">
        <x:v>7c3c1f00e528</x:v>
      </x:c>
      <x:c r="T472" s="12" t="n">
        <x:f>COUNTIF($S$2:$S$757,S472)</x:f>
        <x:v>1</x:v>
      </x:c>
      <x:c r="U472" s="12" t="str">
        <x:f>IF(T472=1,"OK","DUPLICATE")</x:f>
        <x:v>OK</x:v>
      </x:c>
    </x:row>
    <x:row r="473" ht="39.599998474121094" hidden="0" customHeight="1">
      <x:c r="A473" s="12" t="str">
        <x:v>Penumbra Bow</x:v>
      </x:c>
      <x:c r="B473" s="12" t="str">
        <x:v>PENUMBRA BOW</x:v>
      </x:c>
      <x:c r="C473" s="12" t="str">
        <x:v>weapon</x:v>
      </x:c>
      <x:c r="D473" s="12" t="str">
        <x:v>bow</x:v>
      </x:c>
      <x:c r="E473" s="12" t="str">
        <x:v>early</x:v>
      </x:c>
      <x:c r="F473" s="12" t="str">
        <x:v>uncommon</x:v>
      </x:c>
      <x:c r="G473" s="12" t="str">
        <x:v>Penumbra Bow — Opening Strike</x:v>
      </x:c>
      <x:c r="H473" s="34" t="n">
        <x:v>1</x:v>
      </x:c>
      <x:c r="I473" s="34" t="str">
        <x:v>attack</x:v>
      </x:c>
      <x:c r="J473" s="34" t="n">
        <x:v>3</x:v>
      </x:c>
      <x:c r="K473" s="34" t="n">
        <x:v>3</x:v>
      </x:c>
      <x:c r="L473" s="34" t="str"/>
      <x:c r="M473" s="12" t="str">
        <x:v>Bleed 3 | Target: White Lion</x:v>
      </x:c>
      <x:c r="N473" s="12" t="str">
        <x:v>Ranged, Marking, Precise, Attack</x:v>
      </x:c>
      <x:c r="O473" s="12" t="str">
        <x:v>Deal 3 damage. Apply Bleed 3 if the target has a White Lion weak point, otherwise gain Marked 1.</x:v>
      </x:c>
      <x:c r="P473" s="12" t="str">
        <x:v>Deal 3 damage with Penumbra Bow. Apply Bleed 3 against a matching White Lion weak point; otherwise apply Marked 1. If the quarry is Marked, draw 1 then discard 1.</x:v>
      </x:c>
      <x:c r="Q473" s="12" t="str"/>
      <x:c r="R473" s="12" t="str">
        <x:v>quirk: marked</x:v>
      </x:c>
      <x:c r="S473" s="12" t="str">
        <x:v>649a98f1d6ac</x:v>
      </x:c>
      <x:c r="T473" s="12" t="n">
        <x:f>COUNTIF($S$2:$S$757,S473)</x:f>
        <x:v>1</x:v>
      </x:c>
      <x:c r="U473" s="12" t="str">
        <x:f>IF(T473=1,"OK","DUPLICATE")</x:f>
        <x:v>OK</x:v>
      </x:c>
    </x:row>
    <x:row r="474" ht="26.399999618530273" hidden="0" customHeight="1">
      <x:c r="A474" s="12" t="str">
        <x:v>Penumbra Bow</x:v>
      </x:c>
      <x:c r="B474" s="12" t="str">
        <x:v>PENUMBRA BOW</x:v>
      </x:c>
      <x:c r="C474" s="12" t="str">
        <x:v>weapon</x:v>
      </x:c>
      <x:c r="D474" s="12" t="str">
        <x:v>bow</x:v>
      </x:c>
      <x:c r="E474" s="12" t="str">
        <x:v>early</x:v>
      </x:c>
      <x:c r="F474" s="12" t="str">
        <x:v>uncommon</x:v>
      </x:c>
      <x:c r="G474" s="12" t="str">
        <x:v>Penumbra Bow — Technique</x:v>
      </x:c>
      <x:c r="H474" s="34" t="n">
        <x:v>2</x:v>
      </x:c>
      <x:c r="I474" s="34" t="str">
        <x:v>skill</x:v>
      </x:c>
      <x:c r="J474" s="34" t="str"/>
      <x:c r="K474" s="34" t="str"/>
      <x:c r="L474" s="34" t="n">
        <x:v>3</x:v>
      </x:c>
      <x:c r="M474" s="12" t="str">
        <x:v>Opens: True</x:v>
      </x:c>
      <x:c r="N474" s="12" t="str">
        <x:v>Ranged, Marking, Precise, Setup</x:v>
      </x:c>
      <x:c r="O474" s="12" t="str">
        <x:v>Mark a wing, eye or distant weak point; ranged attacks ignore Guarded 1. Also gain 3 block.</x:v>
      </x:c>
      <x:c r="P474" s="12" t="str">
        <x:v>Mark a wing, eye or distant weak point; ranged attacks ignore Guarded 1. Gain 3 block. If the quarry is Marked, draw 1 then discard 1.</x:v>
      </x:c>
      <x:c r="Q474" s="12" t="str"/>
      <x:c r="R474" s="12" t="str">
        <x:v>quirk: marked</x:v>
      </x:c>
      <x:c r="S474" s="12" t="str">
        <x:v>2739e878b526</x:v>
      </x:c>
      <x:c r="T474" s="12" t="n">
        <x:f>COUNTIF($S$2:$S$757,S474)</x:f>
        <x:v>1</x:v>
      </x:c>
      <x:c r="U474" s="12" t="str">
        <x:f>IF(T474=1,"OK","DUPLICATE")</x:f>
        <x:v>OK</x:v>
      </x:c>
    </x:row>
    <x:row r="475" ht="26.399999618530273" hidden="0" customHeight="1">
      <x:c r="A475" s="12" t="str">
        <x:v>Penumbra Bow</x:v>
      </x:c>
      <x:c r="B475" s="12" t="str">
        <x:v>PENUMBRA BOW</x:v>
      </x:c>
      <x:c r="C475" s="12" t="str">
        <x:v>weapon</x:v>
      </x:c>
      <x:c r="D475" s="12" t="str">
        <x:v>bow</x:v>
      </x:c>
      <x:c r="E475" s="12" t="str">
        <x:v>early</x:v>
      </x:c>
      <x:c r="F475" s="12" t="str">
        <x:v>uncommon</x:v>
      </x:c>
      <x:c r="G475" s="12" t="str">
        <x:v>Penumbra Bow — Payoff</x:v>
      </x:c>
      <x:c r="H475" s="34" t="n">
        <x:v>2</x:v>
      </x:c>
      <x:c r="I475" s="34" t="str">
        <x:v>attack</x:v>
      </x:c>
      <x:c r="J475" s="34" t="n">
        <x:v>7</x:v>
      </x:c>
      <x:c r="K475" s="34" t="n">
        <x:v>4</x:v>
      </x:c>
      <x:c r="L475" s="34" t="str"/>
      <x:c r="M475" s="12" t="str">
        <x:v>Bleed 2</x:v>
      </x:c>
      <x:c r="N475" s="12" t="str">
        <x:v>Ranged, Marking, Precise, Payoff, WeakPoint</x:v>
      </x:c>
      <x:c r="O475" s="12" t="str">
        <x:v>Deal 7 damage and 4 break damage. If this breaks a weak point, resolve Bleed 2 and the marked rider.</x:v>
      </x:c>
      <x:c r="P475" s="12" t="str">
        <x:v>Deal 7 damage and 4 break damage. If the weak point breaks, apply Bleed 2 and resolve: If the quarry is Marked, draw 1 then discard 1.</x:v>
      </x:c>
      <x:c r="Q475" s="12" t="str"/>
      <x:c r="R475" s="12" t="str">
        <x:v>quirk: marked | countsAsCounter False, firstCounterFree False</x:v>
      </x:c>
      <x:c r="S475" s="12" t="str">
        <x:v>e18eb049367c</x:v>
      </x:c>
      <x:c r="T475" s="12" t="n">
        <x:f>COUNTIF($S$2:$S$757,S475)</x:f>
        <x:v>1</x:v>
      </x:c>
      <x:c r="U475" s="12" t="str">
        <x:f>IF(T475=1,"OK","DUPLICATE")</x:f>
        <x:v>OK</x:v>
      </x:c>
    </x:row>
    <x:row r="476" ht="39.599998474121094" hidden="0" customHeight="1">
      <x:c r="A476" s="12" t="str">
        <x:v>Perfect Slayer</x:v>
      </x:c>
      <x:c r="B476" s="12" t="str">
        <x:v>PERFECT SLAYER</x:v>
      </x:c>
      <x:c r="C476" s="12" t="str">
        <x:v>weapon</x:v>
      </x:c>
      <x:c r="D476" s="12" t="str">
        <x:v>grandWeapon</x:v>
      </x:c>
      <x:c r="E476" s="12" t="str">
        <x:v>early</x:v>
      </x:c>
      <x:c r="F476" s="12" t="str">
        <x:v>rare</x:v>
      </x:c>
      <x:c r="G476" s="12" t="str">
        <x:v>Perfect Slayer — Opening Strike</x:v>
      </x:c>
      <x:c r="H476" s="34" t="n">
        <x:v>2</x:v>
      </x:c>
      <x:c r="I476" s="34" t="str">
        <x:v>attack</x:v>
      </x:c>
      <x:c r="J476" s="34" t="n">
        <x:v>6</x:v>
      </x:c>
      <x:c r="K476" s="34" t="n">
        <x:v>3</x:v>
      </x:c>
      <x:c r="L476" s="34" t="str"/>
      <x:c r="M476" s="12" t="str">
        <x:v>Stagger 1 | Target: Settlement</x:v>
      </x:c>
      <x:c r="N476" s="12" t="str">
        <x:v>Heavy, Brutal, Guardbreaker, Attack</x:v>
      </x:c>
      <x:c r="O476" s="12" t="str">
        <x:v>Deal 6 damage. Apply Stagger 1 if the target has a Settlement weak point, otherwise gain Marked 1.</x:v>
      </x:c>
      <x:c r="P476" s="12" t="str">
        <x:v>Deal 6 damage with Perfect Slayer. Apply Stagger 1 against a matching Settlement weak point; otherwise apply Marked 1. If you have Guarded, convert 1 Guarded into +2 damage.</x:v>
      </x:c>
      <x:c r="Q476" s="12" t="str"/>
      <x:c r="R476" s="12" t="str">
        <x:v>quirk: guarded</x:v>
      </x:c>
      <x:c r="S476" s="12" t="str">
        <x:v>062687e06e18</x:v>
      </x:c>
      <x:c r="T476" s="12" t="n">
        <x:f>COUNTIF($S$2:$S$757,S476)</x:f>
        <x:v>1</x:v>
      </x:c>
      <x:c r="U476" s="12" t="str">
        <x:f>IF(T476=1,"OK","DUPLICATE")</x:f>
        <x:v>OK</x:v>
      </x:c>
    </x:row>
    <x:row r="477" ht="26.399999618530273" hidden="0" customHeight="1">
      <x:c r="A477" s="12" t="str">
        <x:v>Perfect Slayer</x:v>
      </x:c>
      <x:c r="B477" s="12" t="str">
        <x:v>PERFECT SLAYER</x:v>
      </x:c>
      <x:c r="C477" s="12" t="str">
        <x:v>weapon</x:v>
      </x:c>
      <x:c r="D477" s="12" t="str">
        <x:v>grandWeapon</x:v>
      </x:c>
      <x:c r="E477" s="12" t="str">
        <x:v>early</x:v>
      </x:c>
      <x:c r="F477" s="12" t="str">
        <x:v>rare</x:v>
      </x:c>
      <x:c r="G477" s="12" t="str">
        <x:v>Perfect Slayer — Technique</x:v>
      </x:c>
      <x:c r="H477" s="34" t="n">
        <x:v>2</x:v>
      </x:c>
      <x:c r="I477" s="34" t="str">
        <x:v>skill</x:v>
      </x:c>
      <x:c r="J477" s="34" t="str"/>
      <x:c r="K477" s="34" t="str"/>
      <x:c r="L477" s="34" t="n">
        <x:v>2</x:v>
      </x:c>
      <x:c r="M477" s="12" t="str">
        <x:v>Opens: True</x:v>
      </x:c>
      <x:c r="N477" s="12" t="str">
        <x:v>Heavy, Brutal, Guardbreaker, Setup</x:v>
      </x:c>
      <x:c r="O477" s="12" t="str">
        <x:v>Brace and telegraph; next hit gains Stagger and +2 break damage. Also gain 2 block.</x:v>
      </x:c>
      <x:c r="P477" s="12" t="str">
        <x:v>Brace and telegraph; next hit gains Stagger and +2 break damage. Gain 2 block. If you have Guarded, convert 1 Guarded into +2 damage.</x:v>
      </x:c>
      <x:c r="Q477" s="12" t="str"/>
      <x:c r="R477" s="12" t="str">
        <x:v>quirk: guarded</x:v>
      </x:c>
      <x:c r="S477" s="12" t="str">
        <x:v>5349080de7c1</x:v>
      </x:c>
      <x:c r="T477" s="12" t="n">
        <x:f>COUNTIF($S$2:$S$757,S477)</x:f>
        <x:v>1</x:v>
      </x:c>
      <x:c r="U477" s="12" t="str">
        <x:f>IF(T477=1,"OK","DUPLICATE")</x:f>
        <x:v>OK</x:v>
      </x:c>
    </x:row>
    <x:row r="478" ht="26.399999618530273" hidden="0" customHeight="1">
      <x:c r="A478" s="12" t="str">
        <x:v>Perfect Slayer</x:v>
      </x:c>
      <x:c r="B478" s="12" t="str">
        <x:v>PERFECT SLAYER</x:v>
      </x:c>
      <x:c r="C478" s="12" t="str">
        <x:v>weapon</x:v>
      </x:c>
      <x:c r="D478" s="12" t="str">
        <x:v>grandWeapon</x:v>
      </x:c>
      <x:c r="E478" s="12" t="str">
        <x:v>early</x:v>
      </x:c>
      <x:c r="F478" s="12" t="str">
        <x:v>rare</x:v>
      </x:c>
      <x:c r="G478" s="12" t="str">
        <x:v>Perfect Slayer — Payoff</x:v>
      </x:c>
      <x:c r="H478" s="34" t="n">
        <x:v>3</x:v>
      </x:c>
      <x:c r="I478" s="34" t="str">
        <x:v>attack</x:v>
      </x:c>
      <x:c r="J478" s="34" t="n">
        <x:v>9</x:v>
      </x:c>
      <x:c r="K478" s="34" t="n">
        <x:v>4</x:v>
      </x:c>
      <x:c r="L478" s="34" t="str"/>
      <x:c r="M478" s="12" t="str">
        <x:v>Stagger 1</x:v>
      </x:c>
      <x:c r="N478" s="12" t="str">
        <x:v>Heavy, Brutal, Guardbreaker, Payoff, WeakPoint</x:v>
      </x:c>
      <x:c r="O478" s="12" t="str">
        <x:v>Deal 9 damage and 4 break damage. If this breaks a weak point, resolve Stagger 1 and the guarded rider.</x:v>
      </x:c>
      <x:c r="P478" s="12" t="str">
        <x:v>Deal 9 damage and 4 break damage. If the weak point breaks, apply Stagger 1 and resolve: If you have Guarded, convert 1 Guarded into +2 damage.</x:v>
      </x:c>
      <x:c r="Q478" s="12" t="str"/>
      <x:c r="R478" s="12" t="str">
        <x:v>quirk: guarded | countsAsCounter False, firstCounterFree False</x:v>
      </x:c>
      <x:c r="S478" s="12" t="str">
        <x:v>3492e4b7f9c5</x:v>
      </x:c>
      <x:c r="T478" s="12" t="n">
        <x:f>COUNTIF($S$2:$S$757,S478)</x:f>
        <x:v>1</x:v>
      </x:c>
      <x:c r="U478" s="12" t="str">
        <x:f>IF(T478=1,"OK","DUPLICATE")</x:f>
        <x:v>OK</x:v>
      </x:c>
    </x:row>
    <x:row r="479" ht="39.599998474121094" hidden="0" customHeight="1">
      <x:c r="A479" s="12" t="str">
        <x:v>Phase Axe</x:v>
      </x:c>
      <x:c r="B479" s="12" t="str">
        <x:v>PHASE AXE</x:v>
      </x:c>
      <x:c r="C479" s="12" t="str">
        <x:v>weapon</x:v>
      </x:c>
      <x:c r="D479" s="12" t="str">
        <x:v>axe</x:v>
      </x:c>
      <x:c r="E479" s="12" t="str">
        <x:v>early</x:v>
      </x:c>
      <x:c r="F479" s="12" t="str">
        <x:v>uncommon</x:v>
      </x:c>
      <x:c r="G479" s="12" t="str">
        <x:v>Phase Axe — Opening Strike</x:v>
      </x:c>
      <x:c r="H479" s="34" t="n">
        <x:v>1</x:v>
      </x:c>
      <x:c r="I479" s="34" t="str">
        <x:v>attack</x:v>
      </x:c>
      <x:c r="J479" s="34" t="n">
        <x:v>5</x:v>
      </x:c>
      <x:c r="K479" s="34" t="n">
        <x:v>3</x:v>
      </x:c>
      <x:c r="L479" s="34" t="str"/>
      <x:c r="M479" s="12" t="str">
        <x:v>Bleed 2 | Target: White Lion</x:v>
      </x:c>
      <x:c r="N479" s="12" t="str">
        <x:v>Heavy, Brutal, Harvest, Attack</x:v>
      </x:c>
      <x:c r="O479" s="12" t="str">
        <x:v>Deal 5 damage. Apply Bleed 2 if the target has a White Lion weak point, otherwise gain Marked 1.</x:v>
      </x:c>
      <x:c r="P479" s="12" t="str">
        <x:v>Deal 5 damage with Phase Axe. Apply Bleed 2 against a matching White Lion weak point; otherwise apply Marked 1. If you have any wound, add +1 damage but gain Panic 1.</x:v>
      </x:c>
      <x:c r="Q479" s="12" t="str"/>
      <x:c r="R479" s="12" t="str">
        <x:v>quirk: wounded</x:v>
      </x:c>
      <x:c r="S479" s="12" t="str">
        <x:v>3e2f16581e3f</x:v>
      </x:c>
      <x:c r="T479" s="12" t="n">
        <x:f>COUNTIF($S$2:$S$757,S479)</x:f>
        <x:v>1</x:v>
      </x:c>
      <x:c r="U479" s="12" t="str">
        <x:f>IF(T479=1,"OK","DUPLICATE")</x:f>
        <x:v>OK</x:v>
      </x:c>
    </x:row>
    <x:row r="480" ht="26.399999618530273" hidden="0" customHeight="1">
      <x:c r="A480" s="12" t="str">
        <x:v>Phase Axe</x:v>
      </x:c>
      <x:c r="B480" s="12" t="str">
        <x:v>PHASE AXE</x:v>
      </x:c>
      <x:c r="C480" s="12" t="str">
        <x:v>weapon</x:v>
      </x:c>
      <x:c r="D480" s="12" t="str">
        <x:v>axe</x:v>
      </x:c>
      <x:c r="E480" s="12" t="str">
        <x:v>early</x:v>
      </x:c>
      <x:c r="F480" s="12" t="str">
        <x:v>uncommon</x:v>
      </x:c>
      <x:c r="G480" s="12" t="str">
        <x:v>Phase Axe — Technique</x:v>
      </x:c>
      <x:c r="H480" s="34" t="n">
        <x:v>2</x:v>
      </x:c>
      <x:c r="I480" s="34" t="str">
        <x:v>skill</x:v>
      </x:c>
      <x:c r="J480" s="34" t="str"/>
      <x:c r="K480" s="34" t="str"/>
      <x:c r="L480" s="34" t="n">
        <x:v>2</x:v>
      </x:c>
      <x:c r="M480" s="12" t="str">
        <x:v>Opens: True</x:v>
      </x:c>
      <x:c r="N480" s="12" t="str">
        <x:v>Heavy, Brutal, Harvest, Setup</x:v>
      </x:c>
      <x:c r="O480" s="12" t="str">
        <x:v>Commit to a heavy chop; +3 break damage but failed fragile harvests worsen by one step. Also gain 2 block.</x:v>
      </x:c>
      <x:c r="P480" s="12" t="str">
        <x:v>Commit to a heavy chop; +3 break damage but failed fragile harvests worsen by one step. Gain 2 block. If you have any wound, add +1 damage but gain Panic 1.</x:v>
      </x:c>
      <x:c r="Q480" s="12" t="str"/>
      <x:c r="R480" s="12" t="str">
        <x:v>quirk: wounded</x:v>
      </x:c>
      <x:c r="S480" s="12" t="str">
        <x:v>47955bd7ef3b</x:v>
      </x:c>
      <x:c r="T480" s="12" t="n">
        <x:f>COUNTIF($S$2:$S$757,S480)</x:f>
        <x:v>1</x:v>
      </x:c>
      <x:c r="U480" s="12" t="str">
        <x:f>IF(T480=1,"OK","DUPLICATE")</x:f>
        <x:v>OK</x:v>
      </x:c>
    </x:row>
    <x:row r="481" ht="26.399999618530273" hidden="0" customHeight="1">
      <x:c r="A481" s="12" t="str">
        <x:v>Phase Axe</x:v>
      </x:c>
      <x:c r="B481" s="12" t="str">
        <x:v>PHASE AXE</x:v>
      </x:c>
      <x:c r="C481" s="12" t="str">
        <x:v>weapon</x:v>
      </x:c>
      <x:c r="D481" s="12" t="str">
        <x:v>axe</x:v>
      </x:c>
      <x:c r="E481" s="12" t="str">
        <x:v>early</x:v>
      </x:c>
      <x:c r="F481" s="12" t="str">
        <x:v>uncommon</x:v>
      </x:c>
      <x:c r="G481" s="12" t="str">
        <x:v>Phase Axe — Payoff</x:v>
      </x:c>
      <x:c r="H481" s="34" t="n">
        <x:v>3</x:v>
      </x:c>
      <x:c r="I481" s="34" t="str">
        <x:v>attack</x:v>
      </x:c>
      <x:c r="J481" s="34" t="n">
        <x:v>7</x:v>
      </x:c>
      <x:c r="K481" s="34" t="n">
        <x:v>4</x:v>
      </x:c>
      <x:c r="L481" s="34" t="str"/>
      <x:c r="M481" s="12" t="str">
        <x:v>Bleed 1</x:v>
      </x:c>
      <x:c r="N481" s="12" t="str">
        <x:v>Heavy, Brutal, Harvest, Payoff, WeakPoint</x:v>
      </x:c>
      <x:c r="O481" s="12" t="str">
        <x:v>Deal 7 damage and 4 break damage. If this breaks a weak point, resolve Bleed 1 and the wounded rider.</x:v>
      </x:c>
      <x:c r="P481" s="12" t="str">
        <x:v>Deal 7 damage and 4 break damage. If the weak point breaks, apply Bleed 1 and resolve: If you have any wound, add +1 damage but gain Panic 1.</x:v>
      </x:c>
      <x:c r="Q481" s="12" t="str"/>
      <x:c r="R481" s="12" t="str">
        <x:v>quirk: wounded | countsAsCounter False, firstCounterFree False</x:v>
      </x:c>
      <x:c r="S481" s="12" t="str">
        <x:v>3f53857ff3c5</x:v>
      </x:c>
      <x:c r="T481" s="12" t="n">
        <x:f>COUNTIF($S$2:$S$757,S481)</x:f>
        <x:v>1</x:v>
      </x:c>
      <x:c r="U481" s="12" t="str">
        <x:f>IF(T481=1,"OK","DUPLICATE")</x:f>
        <x:v>OK</x:v>
      </x:c>
    </x:row>
    <x:row r="482" ht="39.599998474121094" hidden="0" customHeight="1">
      <x:c r="A482" s="12" t="str">
        <x:v>Phoenix Armor Set</x:v>
      </x:c>
      <x:c r="B482" s="12" t="str">
        <x:v>PHOENIX ARMOR SET</x:v>
      </x:c>
      <x:c r="C482" s="12" t="str">
        <x:v>set</x:v>
      </x:c>
      <x:c r="D482" s="12" t="str">
        <x:v>armor</x:v>
      </x:c>
      <x:c r="E482" s="12" t="str">
        <x:v>early</x:v>
      </x:c>
      <x:c r="F482" s="12" t="str">
        <x:v>uncommon</x:v>
      </x:c>
      <x:c r="G482" s="12" t="str">
        <x:v>Phoenix Armor Set — Brace</x:v>
      </x:c>
      <x:c r="H482" s="34" t="n">
        <x:v>1</x:v>
      </x:c>
      <x:c r="I482" s="34" t="str">
        <x:v>skill</x:v>
      </x:c>
      <x:c r="J482" s="34" t="str"/>
      <x:c r="K482" s="34" t="str"/>
      <x:c r="L482" s="34" t="n">
        <x:v>4</x:v>
      </x:c>
      <x:c r="M482" s="12" t="str"/>
      <x:c r="N482" s="12" t="str">
        <x:v>Defensive, Party, WoundCare</x:v>
      </x:c>
      <x:c r="O482" s="12" t="str">
        <x:v>Gain 4 block and Guarded 3. If hit before your next turn, reduce Doom or Panic by 1.</x:v>
      </x:c>
      <x:c r="P482" s="12" t="str">
        <x:v>Gain 4 block and Guarded 3. If the next monster hit lands before your next turn, reduce Doom or Panic by 1 after damage. If used on a hunt node, also mark one gathered resource as confirmed.</x:v>
      </x:c>
      <x:c r="Q482" s="12" t="str"/>
      <x:c r="R482" s="12" t="str">
        <x:v>quirk: retreat</x:v>
      </x:c>
      <x:c r="S482" s="12" t="str">
        <x:v>f374c031186b</x:v>
      </x:c>
      <x:c r="T482" s="12" t="n">
        <x:f>COUNTIF($S$2:$S$757,S482)</x:f>
        <x:v>1</x:v>
      </x:c>
      <x:c r="U482" s="12" t="str">
        <x:f>IF(T482=1,"OK","DUPLICATE")</x:f>
        <x:v>OK</x:v>
      </x:c>
    </x:row>
    <x:row r="483" ht="39.599998474121094" hidden="0" customHeight="1">
      <x:c r="A483" s="12" t="str">
        <x:v>Phoenix Armor Set</x:v>
      </x:c>
      <x:c r="B483" s="12" t="str">
        <x:v>PHOENIX ARMOR SET</x:v>
      </x:c>
      <x:c r="C483" s="12" t="str">
        <x:v>set</x:v>
      </x:c>
      <x:c r="D483" s="12" t="str">
        <x:v>armor</x:v>
      </x:c>
      <x:c r="E483" s="12" t="str">
        <x:v>early</x:v>
      </x:c>
      <x:c r="F483" s="12" t="str">
        <x:v>uncommon</x:v>
      </x:c>
      <x:c r="G483" s="12" t="str">
        <x:v>Phoenix Armor Set — Setline</x:v>
      </x:c>
      <x:c r="H483" s="34" t="n">
        <x:v>1</x:v>
      </x:c>
      <x:c r="I483" s="34" t="str">
        <x:v>reaction</x:v>
      </x:c>
      <x:c r="J483" s="34" t="str"/>
      <x:c r="K483" s="34" t="str"/>
      <x:c r="L483" s="34" t="n">
        <x:v>7</x:v>
      </x:c>
      <x:c r="M483" s="12" t="str"/>
      <x:c r="N483" s="12" t="str">
        <x:v>Defensive, Party, WoundCare, Reaction</x:v>
      </x:c>
      <x:c r="O483" s="12" t="str">
        <x:v>After damage is previewed, prevent 7 damage. Then give the next ally Guarded 1.</x:v>
      </x:c>
      <x:c r="P483" s="12" t="str">
        <x:v>After incoming damage is previewed, prevent 7 damage with the set slot. Then the next ally gains Guarded 1. If used on a hunt node, also mark one gathered resource as confirmed.</x:v>
      </x:c>
      <x:c r="Q483" s="12" t="str"/>
      <x:c r="R483" s="12" t="str">
        <x:v>quirk: retreat</x:v>
      </x:c>
      <x:c r="S483" s="12" t="str">
        <x:v>52c114ac81e8</x:v>
      </x:c>
      <x:c r="T483" s="12" t="n">
        <x:f>COUNTIF($S$2:$S$757,S483)</x:f>
        <x:v>1</x:v>
      </x:c>
      <x:c r="U483" s="12" t="str">
        <x:f>IF(T483=1,"OK","DUPLICATE")</x:f>
        <x:v>OK</x:v>
      </x:c>
    </x:row>
    <x:row r="484" ht="39.599998474121094" hidden="0" customHeight="1">
      <x:c r="A484" s="12" t="str">
        <x:v>Phoenix Armor Set (Variant)</x:v>
      </x:c>
      <x:c r="B484" s="12" t="str">
        <x:v>PHOENIX ARMOR SET (VARIANT)</x:v>
      </x:c>
      <x:c r="C484" s="12" t="str">
        <x:v>set</x:v>
      </x:c>
      <x:c r="D484" s="12" t="str">
        <x:v>armor</x:v>
      </x:c>
      <x:c r="E484" s="12" t="str">
        <x:v>early</x:v>
      </x:c>
      <x:c r="F484" s="12" t="str">
        <x:v>uncommon</x:v>
      </x:c>
      <x:c r="G484" s="12" t="str">
        <x:v>Phoenix Armor Set (Variant) — Brace</x:v>
      </x:c>
      <x:c r="H484" s="34" t="n">
        <x:v>1</x:v>
      </x:c>
      <x:c r="I484" s="34" t="str">
        <x:v>skill</x:v>
      </x:c>
      <x:c r="J484" s="34" t="str"/>
      <x:c r="K484" s="34" t="str"/>
      <x:c r="L484" s="34" t="n">
        <x:v>5</x:v>
      </x:c>
      <x:c r="M484" s="12" t="str"/>
      <x:c r="N484" s="12" t="str">
        <x:v>Defensive, Party, WoundCare</x:v>
      </x:c>
      <x:c r="O484" s="12" t="str">
        <x:v>Gain 5 block and Guarded 1. If hit before your next turn, reduce Doom or Panic by 1.</x:v>
      </x:c>
      <x:c r="P484" s="12" t="str">
        <x:v>Gain 5 block and Guarded 1. If the next monster hit lands before your next turn, reduce Doom or Panic by 1 after damage. If a tell is Open, add +2 to the listed damage or block value.</x:v>
      </x:c>
      <x:c r="Q484" s="12" t="str"/>
      <x:c r="R484" s="12" t="str">
        <x:v>quirk: openTell</x:v>
      </x:c>
      <x:c r="S484" s="12" t="str">
        <x:v>f5f50b253cb4</x:v>
      </x:c>
      <x:c r="T484" s="12" t="n">
        <x:f>COUNTIF($S$2:$S$757,S484)</x:f>
        <x:v>1</x:v>
      </x:c>
      <x:c r="U484" s="12" t="str">
        <x:f>IF(T484=1,"OK","DUPLICATE")</x:f>
        <x:v>OK</x:v>
      </x:c>
    </x:row>
    <x:row r="485" ht="39.599998474121094" hidden="0" customHeight="1">
      <x:c r="A485" s="12" t="str">
        <x:v>Phoenix Armor Set (Variant)</x:v>
      </x:c>
      <x:c r="B485" s="12" t="str">
        <x:v>PHOENIX ARMOR SET (VARIANT)</x:v>
      </x:c>
      <x:c r="C485" s="12" t="str">
        <x:v>set</x:v>
      </x:c>
      <x:c r="D485" s="12" t="str">
        <x:v>armor</x:v>
      </x:c>
      <x:c r="E485" s="12" t="str">
        <x:v>early</x:v>
      </x:c>
      <x:c r="F485" s="12" t="str">
        <x:v>uncommon</x:v>
      </x:c>
      <x:c r="G485" s="12" t="str">
        <x:v>Phoenix Armor Set (Variant) — Setline</x:v>
      </x:c>
      <x:c r="H485" s="34" t="n">
        <x:v>2</x:v>
      </x:c>
      <x:c r="I485" s="34" t="str">
        <x:v>reaction</x:v>
      </x:c>
      <x:c r="J485" s="34" t="str"/>
      <x:c r="K485" s="34" t="str"/>
      <x:c r="L485" s="34" t="n">
        <x:v>6</x:v>
      </x:c>
      <x:c r="M485" s="12" t="str"/>
      <x:c r="N485" s="12" t="str">
        <x:v>Defensive, Party, WoundCare, Reaction</x:v>
      </x:c>
      <x:c r="O485" s="12" t="str">
        <x:v>After damage is previewed, prevent 6 damage. Then give the next ally Guarded 1.</x:v>
      </x:c>
      <x:c r="P485" s="12" t="str">
        <x:v>After incoming damage is previewed, prevent 6 damage with the set slot. Then the next ally gains Guarded 1. If a tell is Open, add +2 to the listed damage or block value.</x:v>
      </x:c>
      <x:c r="Q485" s="12" t="str"/>
      <x:c r="R485" s="12" t="str">
        <x:v>quirk: openTell</x:v>
      </x:c>
      <x:c r="S485" s="12" t="str">
        <x:v>14ed59b04f93</x:v>
      </x:c>
      <x:c r="T485" s="12" t="n">
        <x:f>COUNTIF($S$2:$S$757,S485)</x:f>
        <x:v>1</x:v>
      </x:c>
      <x:c r="U485" s="12" t="str">
        <x:f>IF(T485=1,"OK","DUPLICATE")</x:f>
        <x:v>OK</x:v>
      </x:c>
    </x:row>
    <x:row r="486" ht="39.599998474121094" hidden="0" customHeight="1">
      <x:c r="A486" s="12" t="str">
        <x:v>Phoenix Faulds</x:v>
      </x:c>
      <x:c r="B486" s="12" t="str">
        <x:v>PHOENIX FAULDS</x:v>
      </x:c>
      <x:c r="C486" s="12" t="str">
        <x:v>waist</x:v>
      </x:c>
      <x:c r="D486" s="12" t="str">
        <x:v>armor</x:v>
      </x:c>
      <x:c r="E486" s="12" t="str">
        <x:v>early</x:v>
      </x:c>
      <x:c r="F486" s="12" t="str">
        <x:v>common</x:v>
      </x:c>
      <x:c r="G486" s="12" t="str">
        <x:v>Phoenix Faulds — Brace</x:v>
      </x:c>
      <x:c r="H486" s="34" t="n">
        <x:v>1</x:v>
      </x:c>
      <x:c r="I486" s="34" t="str">
        <x:v>skill</x:v>
      </x:c>
      <x:c r="J486" s="34" t="str"/>
      <x:c r="K486" s="34" t="str"/>
      <x:c r="L486" s="34" t="n">
        <x:v>2</x:v>
      </x:c>
      <x:c r="M486" s="12" t="str"/>
      <x:c r="N486" s="12" t="str">
        <x:v>Defensive, Party, WoundCare</x:v>
      </x:c>
      <x:c r="O486" s="12" t="str">
        <x:v>Gain 2 block and Guarded 2. If hit before your next turn, reduce Doom or Panic by 1.</x:v>
      </x:c>
      <x:c r="P486" s="12" t="str">
        <x:v>Gain 2 block and Guarded 2. If the next monster hit lands before your next turn, reduce Doom or Panic by 1 after damage. After use, Exhaust this equipment until the next monster turn.</x:v>
      </x:c>
      <x:c r="Q486" s="12" t="str"/>
      <x:c r="R486" s="12" t="str">
        <x:v>quirk: exhaust</x:v>
      </x:c>
      <x:c r="S486" s="12" t="str">
        <x:v>ca45bc294304</x:v>
      </x:c>
      <x:c r="T486" s="12" t="n">
        <x:f>COUNTIF($S$2:$S$757,S486)</x:f>
        <x:v>1</x:v>
      </x:c>
      <x:c r="U486" s="12" t="str">
        <x:f>IF(T486=1,"OK","DUPLICATE")</x:f>
        <x:v>OK</x:v>
      </x:c>
    </x:row>
    <x:row r="487" ht="39.599998474121094" hidden="0" customHeight="1">
      <x:c r="A487" s="12" t="str">
        <x:v>Phoenix Faulds</x:v>
      </x:c>
      <x:c r="B487" s="12" t="str">
        <x:v>PHOENIX FAULDS</x:v>
      </x:c>
      <x:c r="C487" s="12" t="str">
        <x:v>waist</x:v>
      </x:c>
      <x:c r="D487" s="12" t="str">
        <x:v>armor</x:v>
      </x:c>
      <x:c r="E487" s="12" t="str">
        <x:v>early</x:v>
      </x:c>
      <x:c r="F487" s="12" t="str">
        <x:v>common</x:v>
      </x:c>
      <x:c r="G487" s="12" t="str">
        <x:v>Phoenix Faulds — Fitted Plate</x:v>
      </x:c>
      <x:c r="H487" s="34" t="n">
        <x:v>1</x:v>
      </x:c>
      <x:c r="I487" s="34" t="str">
        <x:v>reaction</x:v>
      </x:c>
      <x:c r="J487" s="34" t="str"/>
      <x:c r="K487" s="34" t="str"/>
      <x:c r="L487" s="34" t="n">
        <x:v>4</x:v>
      </x:c>
      <x:c r="M487" s="12" t="str"/>
      <x:c r="N487" s="12" t="str">
        <x:v>Defensive, Party, WoundCare, Reaction</x:v>
      </x:c>
      <x:c r="O487" s="12" t="str">
        <x:v>After damage is previewed, prevent 4 damage. Then give the next ally Guarded 1.</x:v>
      </x:c>
      <x:c r="P487" s="12" t="str">
        <x:v>After incoming damage is previewed, prevent 4 damage with the waist slot. Then the next ally gains Guarded 1. After use, Exhaust this equipment until the next monster turn.</x:v>
      </x:c>
      <x:c r="Q487" s="12" t="str"/>
      <x:c r="R487" s="12" t="str">
        <x:v>quirk: exhaust</x:v>
      </x:c>
      <x:c r="S487" s="12" t="str">
        <x:v>6f0df5cded9f</x:v>
      </x:c>
      <x:c r="T487" s="12" t="n">
        <x:f>COUNTIF($S$2:$S$757,S487)</x:f>
        <x:v>1</x:v>
      </x:c>
      <x:c r="U487" s="12" t="str">
        <x:f>IF(T487=1,"OK","DUPLICATE")</x:f>
        <x:v>OK</x:v>
      </x:c>
    </x:row>
    <x:row r="488" ht="39.599998474121094" hidden="0" customHeight="1">
      <x:c r="A488" s="12" t="str">
        <x:v>Phoenix Gauntlet</x:v>
      </x:c>
      <x:c r="B488" s="12" t="str">
        <x:v>PHOENIX GAUNTLET</x:v>
      </x:c>
      <x:c r="C488" s="12" t="str">
        <x:v>arms</x:v>
      </x:c>
      <x:c r="D488" s="12" t="str">
        <x:v>armor</x:v>
      </x:c>
      <x:c r="E488" s="12" t="str">
        <x:v>early</x:v>
      </x:c>
      <x:c r="F488" s="12" t="str">
        <x:v>common</x:v>
      </x:c>
      <x:c r="G488" s="12" t="str">
        <x:v>Phoenix Gauntlet — Brace</x:v>
      </x:c>
      <x:c r="H488" s="34" t="n">
        <x:v>1</x:v>
      </x:c>
      <x:c r="I488" s="34" t="str">
        <x:v>skill</x:v>
      </x:c>
      <x:c r="J488" s="34" t="str"/>
      <x:c r="K488" s="34" t="str"/>
      <x:c r="L488" s="34" t="n">
        <x:v>3</x:v>
      </x:c>
      <x:c r="M488" s="12" t="str"/>
      <x:c r="N488" s="12" t="str">
        <x:v>Defensive, Party, WoundCare</x:v>
      </x:c>
      <x:c r="O488" s="12" t="str">
        <x:v>Gain 3 block and Guarded 3. If hit before your next turn, reduce Doom or Panic by 1.</x:v>
      </x:c>
      <x:c r="P488" s="12" t="str">
        <x:v>Gain 3 block and Guarded 3. If the next monster hit lands before your next turn, reduce Doom or Panic by 1 after damage. On a failed harvest, keep one common fallback material.</x:v>
      </x:c>
      <x:c r="Q488" s="12" t="str"/>
      <x:c r="R488" s="12" t="str">
        <x:v>quirk: salvage</x:v>
      </x:c>
      <x:c r="S488" s="12" t="str">
        <x:v>d3b490050105</x:v>
      </x:c>
      <x:c r="T488" s="12" t="n">
        <x:f>COUNTIF($S$2:$S$757,S488)</x:f>
        <x:v>1</x:v>
      </x:c>
      <x:c r="U488" s="12" t="str">
        <x:f>IF(T488=1,"OK","DUPLICATE")</x:f>
        <x:v>OK</x:v>
      </x:c>
    </x:row>
    <x:row r="489" ht="39.599998474121094" hidden="0" customHeight="1">
      <x:c r="A489" s="12" t="str">
        <x:v>Phoenix Gauntlet</x:v>
      </x:c>
      <x:c r="B489" s="12" t="str">
        <x:v>PHOENIX GAUNTLET</x:v>
      </x:c>
      <x:c r="C489" s="12" t="str">
        <x:v>arms</x:v>
      </x:c>
      <x:c r="D489" s="12" t="str">
        <x:v>armor</x:v>
      </x:c>
      <x:c r="E489" s="12" t="str">
        <x:v>early</x:v>
      </x:c>
      <x:c r="F489" s="12" t="str">
        <x:v>common</x:v>
      </x:c>
      <x:c r="G489" s="12" t="str">
        <x:v>Phoenix Gauntlet — Fitted Plate</x:v>
      </x:c>
      <x:c r="H489" s="34" t="n">
        <x:v>2</x:v>
      </x:c>
      <x:c r="I489" s="34" t="str">
        <x:v>reaction</x:v>
      </x:c>
      <x:c r="J489" s="34" t="str"/>
      <x:c r="K489" s="34" t="str"/>
      <x:c r="L489" s="34" t="n">
        <x:v>6</x:v>
      </x:c>
      <x:c r="M489" s="12" t="str"/>
      <x:c r="N489" s="12" t="str">
        <x:v>Defensive, Party, WoundCare, Reaction</x:v>
      </x:c>
      <x:c r="O489" s="12" t="str">
        <x:v>After damage is previewed, prevent 6 damage. Then give the next ally Guarded 1.</x:v>
      </x:c>
      <x:c r="P489" s="12" t="str">
        <x:v>After incoming damage is previewed, prevent 6 damage with the arms slot. Then the next ally gains Guarded 1. On a failed harvest, keep one common fallback material.</x:v>
      </x:c>
      <x:c r="Q489" s="12" t="str"/>
      <x:c r="R489" s="12" t="str">
        <x:v>quirk: salvage</x:v>
      </x:c>
      <x:c r="S489" s="12" t="str">
        <x:v>af3ea7551e73</x:v>
      </x:c>
      <x:c r="T489" s="12" t="n">
        <x:f>COUNTIF($S$2:$S$757,S489)</x:f>
        <x:v>1</x:v>
      </x:c>
      <x:c r="U489" s="12" t="str">
        <x:f>IF(T489=1,"OK","DUPLICATE")</x:f>
        <x:v>OK</x:v>
      </x:c>
    </x:row>
    <x:row r="490" ht="39.599998474121094" hidden="0" customHeight="1">
      <x:c r="A490" s="12" t="str">
        <x:v>Phoenix Gloves</x:v>
      </x:c>
      <x:c r="B490" s="12" t="str">
        <x:v>PHOENIX GAUNTLETS</x:v>
      </x:c>
      <x:c r="C490" s="12" t="str">
        <x:v>arms</x:v>
      </x:c>
      <x:c r="D490" s="12" t="str">
        <x:v>armor</x:v>
      </x:c>
      <x:c r="E490" s="12" t="str">
        <x:v>early</x:v>
      </x:c>
      <x:c r="F490" s="12" t="str">
        <x:v>common</x:v>
      </x:c>
      <x:c r="G490" s="12" t="str">
        <x:v>Phoenix Gloves — Brace</x:v>
      </x:c>
      <x:c r="H490" s="34" t="n">
        <x:v>1</x:v>
      </x:c>
      <x:c r="I490" s="34" t="str">
        <x:v>skill</x:v>
      </x:c>
      <x:c r="J490" s="34" t="str"/>
      <x:c r="K490" s="34" t="str"/>
      <x:c r="L490" s="34" t="n">
        <x:v>4</x:v>
      </x:c>
      <x:c r="M490" s="12" t="str"/>
      <x:c r="N490" s="12" t="str">
        <x:v>Defensive, Party, WoundCare</x:v>
      </x:c>
      <x:c r="O490" s="12" t="str">
        <x:v>Gain 4 block and Guarded 1. If hit before your next turn, reduce Doom or Panic by 1.</x:v>
      </x:c>
      <x:c r="P490" s="12" t="str">
        <x:v>Gain 4 block and Guarded 1. If the next monster hit lands before your next turn, reduce Doom or Panic by 1 after damage. If this is the only card you play this turn, gain +2 block.</x:v>
      </x:c>
      <x:c r="Q490" s="12" t="str"/>
      <x:c r="R490" s="12" t="str">
        <x:v>quirk: stance</x:v>
      </x:c>
      <x:c r="S490" s="12" t="str">
        <x:v>5fe4e263c6aa</x:v>
      </x:c>
      <x:c r="T490" s="12" t="n">
        <x:f>COUNTIF($S$2:$S$757,S490)</x:f>
        <x:v>1</x:v>
      </x:c>
      <x:c r="U490" s="12" t="str">
        <x:f>IF(T490=1,"OK","DUPLICATE")</x:f>
        <x:v>OK</x:v>
      </x:c>
    </x:row>
    <x:row r="491" ht="39.599998474121094" hidden="0" customHeight="1">
      <x:c r="A491" s="12" t="str">
        <x:v>Phoenix Gloves</x:v>
      </x:c>
      <x:c r="B491" s="12" t="str">
        <x:v>PHOENIX GAUNTLETS</x:v>
      </x:c>
      <x:c r="C491" s="12" t="str">
        <x:v>arms</x:v>
      </x:c>
      <x:c r="D491" s="12" t="str">
        <x:v>armor</x:v>
      </x:c>
      <x:c r="E491" s="12" t="str">
        <x:v>early</x:v>
      </x:c>
      <x:c r="F491" s="12" t="str">
        <x:v>common</x:v>
      </x:c>
      <x:c r="G491" s="12" t="str">
        <x:v>Phoenix Gloves — Fitted Plate</x:v>
      </x:c>
      <x:c r="H491" s="34" t="n">
        <x:v>1</x:v>
      </x:c>
      <x:c r="I491" s="34" t="str">
        <x:v>reaction</x:v>
      </x:c>
      <x:c r="J491" s="34" t="str"/>
      <x:c r="K491" s="34" t="str"/>
      <x:c r="L491" s="34" t="n">
        <x:v>5</x:v>
      </x:c>
      <x:c r="M491" s="12" t="str"/>
      <x:c r="N491" s="12" t="str">
        <x:v>Defensive, Party, WoundCare, Reaction</x:v>
      </x:c>
      <x:c r="O491" s="12" t="str">
        <x:v>After damage is previewed, prevent 5 damage. Then give the next ally Guarded 1.</x:v>
      </x:c>
      <x:c r="P491" s="12" t="str">
        <x:v>After incoming damage is previewed, prevent 5 damage with the arms slot. Then the next ally gains Guarded 1. If this is the only card you play this turn, gain +2 block.</x:v>
      </x:c>
      <x:c r="Q491" s="12" t="str"/>
      <x:c r="R491" s="12" t="str">
        <x:v>quirk: stance</x:v>
      </x:c>
      <x:c r="S491" s="12" t="str">
        <x:v>a47c50f951fe</x:v>
      </x:c>
      <x:c r="T491" s="12" t="n">
        <x:f>COUNTIF($S$2:$S$757,S491)</x:f>
        <x:v>1</x:v>
      </x:c>
      <x:c r="U491" s="12" t="str">
        <x:f>IF(T491=1,"OK","DUPLICATE")</x:f>
        <x:v>OK</x:v>
      </x:c>
    </x:row>
    <x:row r="492" ht="39.599998474121094" hidden="0" customHeight="1">
      <x:c r="A492" s="12" t="str">
        <x:v>Phoenix Greaves</x:v>
      </x:c>
      <x:c r="B492" s="12" t="str">
        <x:v>PHOENIX GREAVES</x:v>
      </x:c>
      <x:c r="C492" s="12" t="str">
        <x:v>legs</x:v>
      </x:c>
      <x:c r="D492" s="12" t="str">
        <x:v>armor</x:v>
      </x:c>
      <x:c r="E492" s="12" t="str">
        <x:v>early</x:v>
      </x:c>
      <x:c r="F492" s="12" t="str">
        <x:v>common</x:v>
      </x:c>
      <x:c r="G492" s="12" t="str">
        <x:v>Phoenix Greaves — Brace</x:v>
      </x:c>
      <x:c r="H492" s="34" t="n">
        <x:v>1</x:v>
      </x:c>
      <x:c r="I492" s="34" t="str">
        <x:v>skill</x:v>
      </x:c>
      <x:c r="J492" s="34" t="str"/>
      <x:c r="K492" s="34" t="str"/>
      <x:c r="L492" s="34" t="n">
        <x:v>5</x:v>
      </x:c>
      <x:c r="M492" s="12" t="str"/>
      <x:c r="N492" s="12" t="str">
        <x:v>Defensive, Party, WoundCare</x:v>
      </x:c>
      <x:c r="O492" s="12" t="str">
        <x:v>Gain 5 block and Guarded 2. If hit before your next turn, reduce Doom or Panic by 1.</x:v>
      </x:c>
      <x:c r="P492" s="12" t="str">
        <x:v>Gain 5 block and Guarded 2. If the next monster hit lands before your next turn, reduce Doom or Panic by 1 after damage. If played after blocking, your next Counter gains +2 damage.</x:v>
      </x:c>
      <x:c r="Q492" s="12" t="str"/>
      <x:c r="R492" s="12" t="str">
        <x:v>quirk: counterReady</x:v>
      </x:c>
      <x:c r="S492" s="12" t="str">
        <x:v>8331b27ce1a0</x:v>
      </x:c>
      <x:c r="T492" s="12" t="n">
        <x:f>COUNTIF($S$2:$S$757,S492)</x:f>
        <x:v>1</x:v>
      </x:c>
      <x:c r="U492" s="12" t="str">
        <x:f>IF(T492=1,"OK","DUPLICATE")</x:f>
        <x:v>OK</x:v>
      </x:c>
    </x:row>
    <x:row r="493" ht="39.599998474121094" hidden="0" customHeight="1">
      <x:c r="A493" s="12" t="str">
        <x:v>Phoenix Greaves</x:v>
      </x:c>
      <x:c r="B493" s="12" t="str">
        <x:v>PHOENIX GREAVES</x:v>
      </x:c>
      <x:c r="C493" s="12" t="str">
        <x:v>legs</x:v>
      </x:c>
      <x:c r="D493" s="12" t="str">
        <x:v>armor</x:v>
      </x:c>
      <x:c r="E493" s="12" t="str">
        <x:v>early</x:v>
      </x:c>
      <x:c r="F493" s="12" t="str">
        <x:v>common</x:v>
      </x:c>
      <x:c r="G493" s="12" t="str">
        <x:v>Phoenix Greaves — Fitted Plate</x:v>
      </x:c>
      <x:c r="H493" s="34" t="n">
        <x:v>2</x:v>
      </x:c>
      <x:c r="I493" s="34" t="str">
        <x:v>reaction</x:v>
      </x:c>
      <x:c r="J493" s="34" t="str"/>
      <x:c r="K493" s="34" t="str"/>
      <x:c r="L493" s="34" t="n">
        <x:v>7</x:v>
      </x:c>
      <x:c r="M493" s="12" t="str"/>
      <x:c r="N493" s="12" t="str">
        <x:v>Defensive, Party, WoundCare, Reaction</x:v>
      </x:c>
      <x:c r="O493" s="12" t="str">
        <x:v>After damage is previewed, prevent 7 damage. Then give the next ally Guarded 1.</x:v>
      </x:c>
      <x:c r="P493" s="12" t="str">
        <x:v>After incoming damage is previewed, prevent 7 damage with the legs slot. Then the next ally gains Guarded 1. If played after blocking, your next Counter gains +2 damage.</x:v>
      </x:c>
      <x:c r="Q493" s="12" t="str"/>
      <x:c r="R493" s="12" t="str">
        <x:v>quirk: counterReady</x:v>
      </x:c>
      <x:c r="S493" s="12" t="str">
        <x:v>7ef579963f41</x:v>
      </x:c>
      <x:c r="T493" s="12" t="n">
        <x:f>COUNTIF($S$2:$S$757,S493)</x:f>
        <x:v>1</x:v>
      </x:c>
      <x:c r="U493" s="12" t="str">
        <x:f>IF(T493=1,"OK","DUPLICATE")</x:f>
        <x:v>OK</x:v>
      </x:c>
    </x:row>
    <x:row r="494" ht="39.599998474121094" hidden="0" customHeight="1">
      <x:c r="A494" s="12" t="str">
        <x:v>Phoenix Crown</x:v>
      </x:c>
      <x:c r="B494" s="12" t="str">
        <x:v>PHOENIX HELM</x:v>
      </x:c>
      <x:c r="C494" s="12" t="str">
        <x:v>head</x:v>
      </x:c>
      <x:c r="D494" s="12" t="str">
        <x:v>armor</x:v>
      </x:c>
      <x:c r="E494" s="12" t="str">
        <x:v>early</x:v>
      </x:c>
      <x:c r="F494" s="12" t="str">
        <x:v>common</x:v>
      </x:c>
      <x:c r="G494" s="12" t="str">
        <x:v>Phoenix Crown — Brace</x:v>
      </x:c>
      <x:c r="H494" s="34" t="n">
        <x:v>1</x:v>
      </x:c>
      <x:c r="I494" s="34" t="str">
        <x:v>skill</x:v>
      </x:c>
      <x:c r="J494" s="34" t="str"/>
      <x:c r="K494" s="34" t="str"/>
      <x:c r="L494" s="34" t="n">
        <x:v>2</x:v>
      </x:c>
      <x:c r="M494" s="12" t="str"/>
      <x:c r="N494" s="12" t="str">
        <x:v>Defensive, Party, WoundCare</x:v>
      </x:c>
      <x:c r="O494" s="12" t="str">
        <x:v>Gain 2 block and Guarded 3. If hit before your next turn, reduce Doom or Panic by 1.</x:v>
      </x:c>
      <x:c r="P494" s="12" t="str">
        <x:v>Gain 2 block and Guarded 3. If the next monster hit lands before your next turn, reduce Doom or Panic by 1 after damage. If you play a third attack this round, gain Panic 1.</x:v>
      </x:c>
      <x:c r="Q494" s="12" t="str"/>
      <x:c r="R494" s="12" t="str">
        <x:v>quirk: frenzyCheck</x:v>
      </x:c>
      <x:c r="S494" s="12" t="str">
        <x:v>2733d7b460eb</x:v>
      </x:c>
      <x:c r="T494" s="12" t="n">
        <x:f>COUNTIF($S$2:$S$757,S494)</x:f>
        <x:v>1</x:v>
      </x:c>
      <x:c r="U494" s="12" t="str">
        <x:f>IF(T494=1,"OK","DUPLICATE")</x:f>
        <x:v>OK</x:v>
      </x:c>
    </x:row>
    <x:row r="495" ht="26.399999618530273" hidden="0" customHeight="1">
      <x:c r="A495" s="12" t="str">
        <x:v>Phoenix Crown</x:v>
      </x:c>
      <x:c r="B495" s="12" t="str">
        <x:v>PHOENIX HELM</x:v>
      </x:c>
      <x:c r="C495" s="12" t="str">
        <x:v>head</x:v>
      </x:c>
      <x:c r="D495" s="12" t="str">
        <x:v>armor</x:v>
      </x:c>
      <x:c r="E495" s="12" t="str">
        <x:v>early</x:v>
      </x:c>
      <x:c r="F495" s="12" t="str">
        <x:v>common</x:v>
      </x:c>
      <x:c r="G495" s="12" t="str">
        <x:v>Phoenix Crown — Fitted Plate</x:v>
      </x:c>
      <x:c r="H495" s="34" t="n">
        <x:v>1</x:v>
      </x:c>
      <x:c r="I495" s="34" t="str">
        <x:v>reaction</x:v>
      </x:c>
      <x:c r="J495" s="34" t="str"/>
      <x:c r="K495" s="34" t="str"/>
      <x:c r="L495" s="34" t="n">
        <x:v>5</x:v>
      </x:c>
      <x:c r="M495" s="12" t="str"/>
      <x:c r="N495" s="12" t="str">
        <x:v>Defensive, Party, WoundCare, Reaction</x:v>
      </x:c>
      <x:c r="O495" s="12" t="str">
        <x:v>After damage is previewed, prevent 5 damage. Then give the next ally Guarded 1.</x:v>
      </x:c>
      <x:c r="P495" s="12" t="str">
        <x:v>After incoming damage is previewed, prevent 5 damage with the head slot. Then the next ally gains Guarded 1. If you play a third attack this round, gain Panic 1.</x:v>
      </x:c>
      <x:c r="Q495" s="12" t="str"/>
      <x:c r="R495" s="12" t="str">
        <x:v>quirk: frenzyCheck</x:v>
      </x:c>
      <x:c r="S495" s="12" t="str">
        <x:v>8022b946158d</x:v>
      </x:c>
      <x:c r="T495" s="12" t="n">
        <x:f>COUNTIF($S$2:$S$757,S495)</x:f>
        <x:v>1</x:v>
      </x:c>
      <x:c r="U495" s="12" t="str">
        <x:f>IF(T495=1,"OK","DUPLICATE")</x:f>
        <x:v>OK</x:v>
      </x:c>
    </x:row>
    <x:row r="496" ht="39.599998474121094" hidden="0" customHeight="1">
      <x:c r="A496" s="12" t="str">
        <x:v>Phoenix Visage</x:v>
      </x:c>
      <x:c r="B496" s="12" t="str">
        <x:v>PHOENIX MASK</x:v>
      </x:c>
      <x:c r="C496" s="12" t="str">
        <x:v>head</x:v>
      </x:c>
      <x:c r="D496" s="12" t="str">
        <x:v>charm</x:v>
      </x:c>
      <x:c r="E496" s="12" t="str">
        <x:v>mid</x:v>
      </x:c>
      <x:c r="F496" s="12" t="str">
        <x:v>uncommon</x:v>
      </x:c>
      <x:c r="G496" s="12" t="str">
        <x:v>Phoenix Visage — Omen</x:v>
      </x:c>
      <x:c r="H496" s="34" t="n">
        <x:v>0</x:v>
      </x:c>
      <x:c r="I496" s="34" t="str">
        <x:v>skill</x:v>
      </x:c>
      <x:c r="J496" s="34" t="str"/>
      <x:c r="K496" s="34" t="str"/>
      <x:c r="L496" s="34" t="str"/>
      <x:c r="M496" s="12" t="str"/>
      <x:c r="N496" s="12" t="str">
        <x:v>Charm, Passive, Survival</x:v>
      </x:c>
      <x:c r="O496" s="12" t="str">
        <x:v>Peek at the next quarry card or weak-point reward. You may mark it; if you do, gain Panic 1.</x:v>
      </x:c>
      <x:c r="P496" s="12" t="str">
        <x:v>Peek at the next quarry AI, hit-location or weak-point reward, depending on screen. You may mark it. If marked, gain Panic 1. If this would drop you to 0 HP, resolve the card first, then die if still at 0 HP.</x:v>
      </x:c>
      <x:c r="Q496" s="12" t="str"/>
      <x:c r="R496" s="12" t="str">
        <x:v>quirk: lastLight</x:v>
      </x:c>
      <x:c r="S496" s="12" t="str">
        <x:v>eae260a28b2d</x:v>
      </x:c>
      <x:c r="T496" s="12" t="n">
        <x:f>COUNTIF($S$2:$S$757,S496)</x:f>
        <x:v>1</x:v>
      </x:c>
      <x:c r="U496" s="12" t="str">
        <x:f>IF(T496=1,"OK","DUPLICATE")</x:f>
        <x:v>OK</x:v>
      </x:c>
    </x:row>
    <x:row r="497" ht="39.599998474121094" hidden="0" customHeight="1">
      <x:c r="A497" s="12" t="str">
        <x:v>Phoenix Visage</x:v>
      </x:c>
      <x:c r="B497" s="12" t="str">
        <x:v>PHOENIX MASK</x:v>
      </x:c>
      <x:c r="C497" s="12" t="str">
        <x:v>head</x:v>
      </x:c>
      <x:c r="D497" s="12" t="str">
        <x:v>charm</x:v>
      </x:c>
      <x:c r="E497" s="12" t="str">
        <x:v>mid</x:v>
      </x:c>
      <x:c r="F497" s="12" t="str">
        <x:v>uncommon</x:v>
      </x:c>
      <x:c r="G497" s="12" t="str">
        <x:v>Phoenix Visage — Glimmer</x:v>
      </x:c>
      <x:c r="H497" s="34" t="n">
        <x:v>0</x:v>
      </x:c>
      <x:c r="I497" s="34" t="str">
        <x:v>reaction</x:v>
      </x:c>
      <x:c r="J497" s="34" t="str"/>
      <x:c r="K497" s="34" t="str"/>
      <x:c r="L497" s="34" t="str"/>
      <x:c r="M497" s="12" t="str"/>
      <x:c r="N497" s="12" t="str">
        <x:v>Charm, Passive, Survival</x:v>
      </x:c>
      <x:c r="O497" s="12" t="str">
        <x:v>When Snared or a hunt consequence would affect you, reduce it by 2; exhaust this charm.</x:v>
      </x:c>
      <x:c r="P497" s="12" t="str">
        <x:v>When Snared, Panic, or a hunt consequence would affect this survivor, reduce it by 2; exhaust this charm until the next settlement phase. If this would drop you to 0 HP, resolve the card first, then die if still at 0 HP.</x:v>
      </x:c>
      <x:c r="Q497" s="12" t="str"/>
      <x:c r="R497" s="12" t="str">
        <x:v>quirk: lastLight</x:v>
      </x:c>
      <x:c r="S497" s="12" t="str">
        <x:v>07109518d66a</x:v>
      </x:c>
      <x:c r="T497" s="12" t="n">
        <x:f>COUNTIF($S$2:$S$757,S497)</x:f>
        <x:v>1</x:v>
      </x:c>
      <x:c r="U497" s="12" t="str">
        <x:f>IF(T497=1,"OK","DUPLICATE")</x:f>
        <x:v>OK</x:v>
      </x:c>
    </x:row>
    <x:row r="498" ht="39.599998474121094" hidden="0" customHeight="1">
      <x:c r="A498" s="12" t="str">
        <x:v>Phoenix Plackart</x:v>
      </x:c>
      <x:c r="B498" s="12" t="str">
        <x:v>PHOENIX PLACKART</x:v>
      </x:c>
      <x:c r="C498" s="12" t="str">
        <x:v>body</x:v>
      </x:c>
      <x:c r="D498" s="12" t="str">
        <x:v>armor</x:v>
      </x:c>
      <x:c r="E498" s="12" t="str">
        <x:v>early</x:v>
      </x:c>
      <x:c r="F498" s="12" t="str">
        <x:v>common</x:v>
      </x:c>
      <x:c r="G498" s="12" t="str">
        <x:v>Phoenix Plackart — Brace</x:v>
      </x:c>
      <x:c r="H498" s="34" t="n">
        <x:v>1</x:v>
      </x:c>
      <x:c r="I498" s="34" t="str">
        <x:v>skill</x:v>
      </x:c>
      <x:c r="J498" s="34" t="str"/>
      <x:c r="K498" s="34" t="str"/>
      <x:c r="L498" s="34" t="n">
        <x:v>4</x:v>
      </x:c>
      <x:c r="M498" s="12" t="str"/>
      <x:c r="N498" s="12" t="str">
        <x:v>Defensive, Party, WoundCare</x:v>
      </x:c>
      <x:c r="O498" s="12" t="str">
        <x:v>Gain 4 block and Guarded 2. If hit before your next turn, reduce Doom or Panic by 1.</x:v>
      </x:c>
      <x:c r="P498" s="12" t="str">
        <x:v>Gain 4 block and Guarded 2. If the next monster hit lands before your next turn, reduce Doom or Panic by 1 after damage. The quarry targets this survivor next unless another card redirects it.</x:v>
      </x:c>
      <x:c r="Q498" s="12" t="str"/>
      <x:c r="R498" s="12" t="str">
        <x:v>quirk: bait</x:v>
      </x:c>
      <x:c r="S498" s="12" t="str">
        <x:v>7170304ce457</x:v>
      </x:c>
      <x:c r="T498" s="12" t="n">
        <x:f>COUNTIF($S$2:$S$757,S498)</x:f>
        <x:v>1</x:v>
      </x:c>
      <x:c r="U498" s="12" t="str">
        <x:f>IF(T498=1,"OK","DUPLICATE")</x:f>
        <x:v>OK</x:v>
      </x:c>
    </x:row>
    <x:row r="499" ht="39.599998474121094" hidden="0" customHeight="1">
      <x:c r="A499" s="12" t="str">
        <x:v>Phoenix Plackart</x:v>
      </x:c>
      <x:c r="B499" s="12" t="str">
        <x:v>PHOENIX PLACKART</x:v>
      </x:c>
      <x:c r="C499" s="12" t="str">
        <x:v>body</x:v>
      </x:c>
      <x:c r="D499" s="12" t="str">
        <x:v>armor</x:v>
      </x:c>
      <x:c r="E499" s="12" t="str">
        <x:v>early</x:v>
      </x:c>
      <x:c r="F499" s="12" t="str">
        <x:v>common</x:v>
      </x:c>
      <x:c r="G499" s="12" t="str">
        <x:v>Phoenix Plackart — Fitted Plate</x:v>
      </x:c>
      <x:c r="H499" s="34" t="n">
        <x:v>1</x:v>
      </x:c>
      <x:c r="I499" s="34" t="str">
        <x:v>reaction</x:v>
      </x:c>
      <x:c r="J499" s="34" t="str"/>
      <x:c r="K499" s="34" t="str"/>
      <x:c r="L499" s="34" t="n">
        <x:v>6</x:v>
      </x:c>
      <x:c r="M499" s="12" t="str"/>
      <x:c r="N499" s="12" t="str">
        <x:v>Defensive, Party, WoundCare, Reaction</x:v>
      </x:c>
      <x:c r="O499" s="12" t="str">
        <x:v>After damage is previewed, prevent 6 damage. Then give the next ally Guarded 1.</x:v>
      </x:c>
      <x:c r="P499" s="12" t="str">
        <x:v>After incoming damage is previewed, prevent 6 damage with the body slot. Then the next ally gains Guarded 1. The quarry targets this survivor next unless another card redirects it.</x:v>
      </x:c>
      <x:c r="Q499" s="12" t="str"/>
      <x:c r="R499" s="12" t="str">
        <x:v>quirk: bait</x:v>
      </x:c>
      <x:c r="S499" s="12" t="str">
        <x:v>80b22e8ce9b4</x:v>
      </x:c>
      <x:c r="T499" s="12" t="n">
        <x:f>COUNTIF($S$2:$S$757,S499)</x:f>
        <x:v>1</x:v>
      </x:c>
      <x:c r="U499" s="12" t="str">
        <x:f>IF(T499=1,"OK","DUPLICATE")</x:f>
        <x:v>OK</x:v>
      </x:c>
    </x:row>
    <x:row r="500" ht="39.599998474121094" hidden="0" customHeight="1">
      <x:c r="A500" s="12" t="str">
        <x:v>Pulse Lantern</x:v>
      </x:c>
      <x:c r="B500" s="12" t="str">
        <x:v>PULSE LANTERN</x:v>
      </x:c>
      <x:c r="C500" s="12" t="str">
        <x:v>tool</x:v>
      </x:c>
      <x:c r="D500" s="12" t="str">
        <x:v>consumable</x:v>
      </x:c>
      <x:c r="E500" s="12" t="str">
        <x:v>mid</x:v>
      </x:c>
      <x:c r="F500" s="12" t="str">
        <x:v>uncommon</x:v>
      </x:c>
      <x:c r="G500" s="12" t="str">
        <x:v>Pulse Lantern — Use</x:v>
      </x:c>
      <x:c r="H500" s="34" t="n">
        <x:v>0</x:v>
      </x:c>
      <x:c r="I500" s="34" t="str">
        <x:v>skill</x:v>
      </x:c>
      <x:c r="J500" s="34" t="str"/>
      <x:c r="K500" s="34" t="str"/>
      <x:c r="L500" s="34" t="str"/>
      <x:c r="M500" s="12" t="str">
        <x:v>Poison 3</x:v>
      </x:c>
      <x:c r="N500" s="12" t="str">
        <x:v>Tool, Survival, Retreat</x:v>
      </x:c>
      <x:c r="O500" s="12" t="str">
        <x:v>Gain +4 to the next harvest, retreat, or weak-point test. If it fails, apply Poison 3 to the quarry or clear it from a survivor.</x:v>
      </x:c>
      <x:c r="P500" s="12" t="str">
        <x:v>Gain +4 to the next harvest, retreat, or weak-point test linked to Gormery. On failure, either apply Poison 3 to the quarry or clear that status from a survivor. If you have Guarded, convert 1 Guarded into +2 damage.</x:v>
      </x:c>
      <x:c r="Q500" s="12" t="str"/>
      <x:c r="R500" s="12" t="str">
        <x:v>quirk: guarded</x:v>
      </x:c>
      <x:c r="S500" s="12" t="str">
        <x:v>4e1a2d108043</x:v>
      </x:c>
      <x:c r="T500" s="12" t="n">
        <x:f>COUNTIF($S$2:$S$757,S500)</x:f>
        <x:v>1</x:v>
      </x:c>
      <x:c r="U500" s="12" t="str">
        <x:f>IF(T500=1,"OK","DUPLICATE")</x:f>
        <x:v>OK</x:v>
      </x:c>
    </x:row>
    <x:row r="501" ht="39.599998474121094" hidden="0" customHeight="1">
      <x:c r="A501" s="12" t="str">
        <x:v>Pulse Lantern</x:v>
      </x:c>
      <x:c r="B501" s="12" t="str">
        <x:v>PULSE LANTERN</x:v>
      </x:c>
      <x:c r="C501" s="12" t="str">
        <x:v>tool</x:v>
      </x:c>
      <x:c r="D501" s="12" t="str">
        <x:v>consumable</x:v>
      </x:c>
      <x:c r="E501" s="12" t="str">
        <x:v>mid</x:v>
      </x:c>
      <x:c r="F501" s="12" t="str">
        <x:v>uncommon</x:v>
      </x:c>
      <x:c r="G501" s="12" t="str">
        <x:v>Pulse Lantern — Contingency</x:v>
      </x:c>
      <x:c r="H501" s="34" t="n">
        <x:v>1</x:v>
      </x:c>
      <x:c r="I501" s="34" t="str">
        <x:v>reaction</x:v>
      </x:c>
      <x:c r="J501" s="34" t="str"/>
      <x:c r="K501" s="34" t="str"/>
      <x:c r="L501" s="34" t="str"/>
      <x:c r="M501" s="12" t="str"/>
      <x:c r="N501" s="12" t="str">
        <x:v>Tool, Survival, Retreat</x:v>
      </x:c>
      <x:c r="O501" s="12" t="str">
        <x:v>When a hunt or monster consequence is previewed, reduce it by 4; on retreat, preserve 2 gathered resource.</x:v>
      </x:c>
      <x:c r="P501" s="12" t="str">
        <x:v>When a hunt event, retreat roll, or monster consequence is previewed, reduce the penalty by 4. If retreating, preserve 2 gathered resource. If you have Guarded, convert 1 Guarded into +2 damage.</x:v>
      </x:c>
      <x:c r="Q501" s="12" t="str"/>
      <x:c r="R501" s="12" t="str">
        <x:v>quirk: guarded</x:v>
      </x:c>
      <x:c r="S501" s="12" t="str">
        <x:v>dae7a2421324</x:v>
      </x:c>
      <x:c r="T501" s="12" t="n">
        <x:f>COUNTIF($S$2:$S$757,S501)</x:f>
        <x:v>1</x:v>
      </x:c>
      <x:c r="U501" s="12" t="str">
        <x:f>IF(T501=1,"OK","DUPLICATE")</x:f>
        <x:v>OK</x:v>
      </x:c>
    </x:row>
    <x:row r="502" ht="39.599998474121094" hidden="0" customHeight="1">
      <x:c r="A502" s="12" t="str">
        <x:v>Quiver &amp; Noon String</x:v>
      </x:c>
      <x:c r="B502" s="12" t="str">
        <x:v>QUIVER &amp; SUN STRING</x:v>
      </x:c>
      <x:c r="C502" s="12" t="str">
        <x:v>charm</x:v>
      </x:c>
      <x:c r="D502" s="12" t="str">
        <x:v>charm</x:v>
      </x:c>
      <x:c r="E502" s="12" t="str">
        <x:v>apex</x:v>
      </x:c>
      <x:c r="F502" s="12" t="str">
        <x:v>uncommon</x:v>
      </x:c>
      <x:c r="G502" s="12" t="str">
        <x:v>Quiver &amp; Noon String — Omen</x:v>
      </x:c>
      <x:c r="H502" s="34" t="n">
        <x:v>0</x:v>
      </x:c>
      <x:c r="I502" s="34" t="str">
        <x:v>skill</x:v>
      </x:c>
      <x:c r="J502" s="34" t="str"/>
      <x:c r="K502" s="34" t="str"/>
      <x:c r="L502" s="34" t="str"/>
      <x:c r="M502" s="12" t="str"/>
      <x:c r="N502" s="12" t="str">
        <x:v>Charm, Passive, Survival</x:v>
      </x:c>
      <x:c r="O502" s="12" t="str">
        <x:v>Peek at the next quarry card or weak-point reward. You may mark it; if you do, gain Panic 2.</x:v>
      </x:c>
      <x:c r="P502" s="12" t="str">
        <x:v>Peek at the next quarry AI, hit-location or weak-point reward, depending on screen. You may mark it. If marked, gain Panic 2. If the quarry is below half HP, add +1 break damage.</x:v>
      </x:c>
      <x:c r="Q502" s="12" t="str"/>
      <x:c r="R502" s="12" t="str">
        <x:v>quirk: bloodied</x:v>
      </x:c>
      <x:c r="S502" s="12" t="str">
        <x:v>f33ee6055fe3</x:v>
      </x:c>
      <x:c r="T502" s="12" t="n">
        <x:f>COUNTIF($S$2:$S$757,S502)</x:f>
        <x:v>1</x:v>
      </x:c>
      <x:c r="U502" s="12" t="str">
        <x:f>IF(T502=1,"OK","DUPLICATE")</x:f>
        <x:v>OK</x:v>
      </x:c>
    </x:row>
    <x:row r="503" ht="39.599998474121094" hidden="0" customHeight="1">
      <x:c r="A503" s="12" t="str">
        <x:v>Quiver &amp; Noon String</x:v>
      </x:c>
      <x:c r="B503" s="12" t="str">
        <x:v>QUIVER &amp; SUN STRING</x:v>
      </x:c>
      <x:c r="C503" s="12" t="str">
        <x:v>charm</x:v>
      </x:c>
      <x:c r="D503" s="12" t="str">
        <x:v>charm</x:v>
      </x:c>
      <x:c r="E503" s="12" t="str">
        <x:v>apex</x:v>
      </x:c>
      <x:c r="F503" s="12" t="str">
        <x:v>uncommon</x:v>
      </x:c>
      <x:c r="G503" s="12" t="str">
        <x:v>Quiver &amp; Noon String — Glimmer</x:v>
      </x:c>
      <x:c r="H503" s="34" t="n">
        <x:v>0</x:v>
      </x:c>
      <x:c r="I503" s="34" t="str">
        <x:v>reaction</x:v>
      </x:c>
      <x:c r="J503" s="34" t="str"/>
      <x:c r="K503" s="34" t="str"/>
      <x:c r="L503" s="34" t="str"/>
      <x:c r="M503" s="12" t="str"/>
      <x:c r="N503" s="12" t="str">
        <x:v>Charm, Passive, Survival</x:v>
      </x:c>
      <x:c r="O503" s="12" t="str">
        <x:v>When Blind or a hunt consequence would affect you, reduce it by 3; exhaust this charm.</x:v>
      </x:c>
      <x:c r="P503" s="12" t="str">
        <x:v>When Blind, Panic, or a hunt consequence would affect this survivor, reduce it by 3; exhaust this charm until the next settlement phase. If the quarry is below half HP, add +1 break damage.</x:v>
      </x:c>
      <x:c r="Q503" s="12" t="str"/>
      <x:c r="R503" s="12" t="str">
        <x:v>quirk: bloodied</x:v>
      </x:c>
      <x:c r="S503" s="12" t="str">
        <x:v>940e6922beae</x:v>
      </x:c>
      <x:c r="T503" s="12" t="n">
        <x:f>COUNTIF($S$2:$S$757,S503)</x:f>
        <x:v>1</x:v>
      </x:c>
      <x:c r="U503" s="12" t="str">
        <x:f>IF(T503=1,"OK","DUPLICATE")</x:f>
        <x:v>OK</x:v>
      </x:c>
    </x:row>
    <x:row r="504" ht="39.599998474121094" hidden="0" customHeight="1">
      <x:c r="A504" s="12" t="str">
        <x:v>Rainbow Katana</x:v>
      </x:c>
      <x:c r="B504" s="12" t="str">
        <x:v>RAINBOW KATANA</x:v>
      </x:c>
      <x:c r="C504" s="12" t="str">
        <x:v>weapon</x:v>
      </x:c>
      <x:c r="D504" s="12" t="str">
        <x:v>bow</x:v>
      </x:c>
      <x:c r="E504" s="12" t="str">
        <x:v>early</x:v>
      </x:c>
      <x:c r="F504" s="12" t="str">
        <x:v>rare</x:v>
      </x:c>
      <x:c r="G504" s="12" t="str">
        <x:v>Rainbow Katana — Opening Strike</x:v>
      </x:c>
      <x:c r="H504" s="34" t="n">
        <x:v>1</x:v>
      </x:c>
      <x:c r="I504" s="34" t="str">
        <x:v>attack</x:v>
      </x:c>
      <x:c r="J504" s="34" t="n">
        <x:v>4</x:v>
      </x:c>
      <x:c r="K504" s="34" t="n">
        <x:v>2</x:v>
      </x:c>
      <x:c r="L504" s="34" t="str"/>
      <x:c r="M504" s="12" t="str">
        <x:v>Burn 2 | Target: Settlement</x:v>
      </x:c>
      <x:c r="N504" s="12" t="str">
        <x:v>Ranged, Marking, Precise, Attack</x:v>
      </x:c>
      <x:c r="O504" s="12" t="str">
        <x:v>Deal 4 damage. Apply Burn 2 if the target has a Settlement weak point, otherwise gain Marked 1.</x:v>
      </x:c>
      <x:c r="P504" s="12" t="str">
        <x:v>Deal 4 damage with Rainbow Katana. Apply Burn 2 against a matching Settlement weak point; otherwise apply Marked 1. The quarry targets this survivor next unless another card redirects it.</x:v>
      </x:c>
      <x:c r="Q504" s="12" t="str"/>
      <x:c r="R504" s="12" t="str">
        <x:v>quirk: bait</x:v>
      </x:c>
      <x:c r="S504" s="12" t="str">
        <x:v>0dccdb403435</x:v>
      </x:c>
      <x:c r="T504" s="12" t="n">
        <x:f>COUNTIF($S$2:$S$757,S504)</x:f>
        <x:v>1</x:v>
      </x:c>
      <x:c r="U504" s="12" t="str">
        <x:f>IF(T504=1,"OK","DUPLICATE")</x:f>
        <x:v>OK</x:v>
      </x:c>
    </x:row>
    <x:row r="505" ht="26.399999618530273" hidden="0" customHeight="1">
      <x:c r="A505" s="12" t="str">
        <x:v>Rainbow Katana</x:v>
      </x:c>
      <x:c r="B505" s="12" t="str">
        <x:v>RAINBOW KATANA</x:v>
      </x:c>
      <x:c r="C505" s="12" t="str">
        <x:v>weapon</x:v>
      </x:c>
      <x:c r="D505" s="12" t="str">
        <x:v>bow</x:v>
      </x:c>
      <x:c r="E505" s="12" t="str">
        <x:v>early</x:v>
      </x:c>
      <x:c r="F505" s="12" t="str">
        <x:v>rare</x:v>
      </x:c>
      <x:c r="G505" s="12" t="str">
        <x:v>Rainbow Katana — Technique</x:v>
      </x:c>
      <x:c r="H505" s="34" t="n">
        <x:v>2</x:v>
      </x:c>
      <x:c r="I505" s="34" t="str">
        <x:v>skill</x:v>
      </x:c>
      <x:c r="J505" s="34" t="str"/>
      <x:c r="K505" s="34" t="str"/>
      <x:c r="L505" s="34" t="n">
        <x:v>3</x:v>
      </x:c>
      <x:c r="M505" s="12" t="str">
        <x:v>Opens: True</x:v>
      </x:c>
      <x:c r="N505" s="12" t="str">
        <x:v>Ranged, Marking, Precise, Setup</x:v>
      </x:c>
      <x:c r="O505" s="12" t="str">
        <x:v>Mark a wing, eye or distant weak point; ranged attacks ignore Guarded 1. Also gain 3 block.</x:v>
      </x:c>
      <x:c r="P505" s="12" t="str">
        <x:v>Mark a wing, eye or distant weak point; ranged attacks ignore Guarded 1. Gain 3 block. The quarry targets this survivor next unless another card redirects it.</x:v>
      </x:c>
      <x:c r="Q505" s="12" t="str"/>
      <x:c r="R505" s="12" t="str">
        <x:v>quirk: bait</x:v>
      </x:c>
      <x:c r="S505" s="12" t="str">
        <x:v>0b7f5851be14</x:v>
      </x:c>
      <x:c r="T505" s="12" t="n">
        <x:f>COUNTIF($S$2:$S$757,S505)</x:f>
        <x:v>1</x:v>
      </x:c>
      <x:c r="U505" s="12" t="str">
        <x:f>IF(T505=1,"OK","DUPLICATE")</x:f>
        <x:v>OK</x:v>
      </x:c>
    </x:row>
    <x:row r="506" ht="26.399999618530273" hidden="0" customHeight="1">
      <x:c r="A506" s="12" t="str">
        <x:v>Rainbow Katana</x:v>
      </x:c>
      <x:c r="B506" s="12" t="str">
        <x:v>RAINBOW KATANA</x:v>
      </x:c>
      <x:c r="C506" s="12" t="str">
        <x:v>weapon</x:v>
      </x:c>
      <x:c r="D506" s="12" t="str">
        <x:v>bow</x:v>
      </x:c>
      <x:c r="E506" s="12" t="str">
        <x:v>early</x:v>
      </x:c>
      <x:c r="F506" s="12" t="str">
        <x:v>rare</x:v>
      </x:c>
      <x:c r="G506" s="12" t="str">
        <x:v>Rainbow Katana — Payoff</x:v>
      </x:c>
      <x:c r="H506" s="34" t="n">
        <x:v>2</x:v>
      </x:c>
      <x:c r="I506" s="34" t="str">
        <x:v>attack</x:v>
      </x:c>
      <x:c r="J506" s="34" t="n">
        <x:v>6</x:v>
      </x:c>
      <x:c r="K506" s="34" t="n">
        <x:v>3</x:v>
      </x:c>
      <x:c r="L506" s="34" t="str"/>
      <x:c r="M506" s="12" t="str">
        <x:v>Burn 1</x:v>
      </x:c>
      <x:c r="N506" s="12" t="str">
        <x:v>Ranged, Marking, Precise, Payoff, WeakPoint</x:v>
      </x:c>
      <x:c r="O506" s="12" t="str">
        <x:v>Deal 6 damage and 3 break damage. If this breaks a weak point, resolve Burn 1 and the bait rider.</x:v>
      </x:c>
      <x:c r="P506" s="12" t="str">
        <x:v>Deal 6 damage and 3 break damage. If the weak point breaks, apply Burn 1 and resolve: The quarry targets this survivor next unless another card redirects it.</x:v>
      </x:c>
      <x:c r="Q506" s="12" t="str"/>
      <x:c r="R506" s="12" t="str">
        <x:v>quirk: bait | countsAsCounter False, firstCounterFree False</x:v>
      </x:c>
      <x:c r="S506" s="12" t="str">
        <x:v>edd45764ab4f</x:v>
      </x:c>
      <x:c r="T506" s="12" t="n">
        <x:f>COUNTIF($S$2:$S$757,S506)</x:f>
        <x:v>1</x:v>
      </x:c>
      <x:c r="U506" s="12" t="str">
        <x:f>IF(T506=1,"OK","DUPLICATE")</x:f>
        <x:v>OK</x:v>
      </x:c>
    </x:row>
    <x:row r="507" ht="39.599998474121094" hidden="0" customHeight="1">
      <x:c r="A507" s="12" t="str">
        <x:v>Rainbow Katana (Broken)</x:v>
      </x:c>
      <x:c r="B507" s="12" t="str">
        <x:v>RAINBOW KATANA (BROKEN)</x:v>
      </x:c>
      <x:c r="C507" s="12" t="str">
        <x:v>weapon</x:v>
      </x:c>
      <x:c r="D507" s="12" t="str">
        <x:v>bow</x:v>
      </x:c>
      <x:c r="E507" s="12" t="str">
        <x:v>early</x:v>
      </x:c>
      <x:c r="F507" s="12" t="str">
        <x:v>rare</x:v>
      </x:c>
      <x:c r="G507" s="12" t="str">
        <x:v>Rainbow Katana (Broken) — Opening Strike</x:v>
      </x:c>
      <x:c r="H507" s="34" t="n">
        <x:v>2</x:v>
      </x:c>
      <x:c r="I507" s="34" t="str">
        <x:v>attack</x:v>
      </x:c>
      <x:c r="J507" s="34" t="n">
        <x:v>2</x:v>
      </x:c>
      <x:c r="K507" s="34" t="n">
        <x:v>2</x:v>
      </x:c>
      <x:c r="L507" s="34" t="str"/>
      <x:c r="M507" s="12" t="str">
        <x:v>Poison 3 | Target: Settlement</x:v>
      </x:c>
      <x:c r="N507" s="12" t="str">
        <x:v>Ranged, Marking, Precise, Attack</x:v>
      </x:c>
      <x:c r="O507" s="12" t="str">
        <x:v>Deal 2 damage. Apply Poison 3 if the target has a Settlement weak point, otherwise gain Marked 1.</x:v>
      </x:c>
      <x:c r="P507" s="12" t="str">
        <x:v>Deal 2 damage with Rainbow Katana (Broken). Apply Poison 3 against a matching Settlement weak point; otherwise apply Marked 1. If you have no Bleed, Poison or Burn, add +1 to all listed values.</x:v>
      </x:c>
      <x:c r="Q507" s="12" t="str"/>
      <x:c r="R507" s="12" t="str">
        <x:v>quirk: cleanHands</x:v>
      </x:c>
      <x:c r="S507" s="12" t="str">
        <x:v>0317cf4b6c9c</x:v>
      </x:c>
      <x:c r="T507" s="12" t="n">
        <x:f>COUNTIF($S$2:$S$757,S507)</x:f>
        <x:v>1</x:v>
      </x:c>
      <x:c r="U507" s="12" t="str">
        <x:f>IF(T507=1,"OK","DUPLICATE")</x:f>
        <x:v>OK</x:v>
      </x:c>
    </x:row>
    <x:row r="508" ht="26.399999618530273" hidden="0" customHeight="1">
      <x:c r="A508" s="12" t="str">
        <x:v>Rainbow Katana (Broken)</x:v>
      </x:c>
      <x:c r="B508" s="12" t="str">
        <x:v>RAINBOW KATANA (BROKEN)</x:v>
      </x:c>
      <x:c r="C508" s="12" t="str">
        <x:v>weapon</x:v>
      </x:c>
      <x:c r="D508" s="12" t="str">
        <x:v>bow</x:v>
      </x:c>
      <x:c r="E508" s="12" t="str">
        <x:v>early</x:v>
      </x:c>
      <x:c r="F508" s="12" t="str">
        <x:v>rare</x:v>
      </x:c>
      <x:c r="G508" s="12" t="str">
        <x:v>Rainbow Katana (Broken) — Technique</x:v>
      </x:c>
      <x:c r="H508" s="34" t="n">
        <x:v>1</x:v>
      </x:c>
      <x:c r="I508" s="34" t="str">
        <x:v>skill</x:v>
      </x:c>
      <x:c r="J508" s="34" t="str"/>
      <x:c r="K508" s="34" t="str"/>
      <x:c r="L508" s="34" t="n">
        <x:v>4</x:v>
      </x:c>
      <x:c r="M508" s="12" t="str">
        <x:v>Opens: True</x:v>
      </x:c>
      <x:c r="N508" s="12" t="str">
        <x:v>Ranged, Marking, Precise, Setup</x:v>
      </x:c>
      <x:c r="O508" s="12" t="str">
        <x:v>Mark a wing, eye or distant weak point; ranged attacks ignore Guarded 1. Also gain 4 block.</x:v>
      </x:c>
      <x:c r="P508" s="12" t="str">
        <x:v>Mark a wing, eye or distant weak point; ranged attacks ignore Guarded 1. Gain 4 block. If you have no Bleed, Poison or Burn, add +1 to all listed values.</x:v>
      </x:c>
      <x:c r="Q508" s="12" t="str"/>
      <x:c r="R508" s="12" t="str">
        <x:v>quirk: cleanHands</x:v>
      </x:c>
      <x:c r="S508" s="12" t="str">
        <x:v>9c23223753e8</x:v>
      </x:c>
      <x:c r="T508" s="12" t="n">
        <x:f>COUNTIF($S$2:$S$757,S508)</x:f>
        <x:v>1</x:v>
      </x:c>
      <x:c r="U508" s="12" t="str">
        <x:f>IF(T508=1,"OK","DUPLICATE")</x:f>
        <x:v>OK</x:v>
      </x:c>
    </x:row>
    <x:row r="509" ht="26.399999618530273" hidden="0" customHeight="1">
      <x:c r="A509" s="12" t="str">
        <x:v>Rainbow Katana (Broken)</x:v>
      </x:c>
      <x:c r="B509" s="12" t="str">
        <x:v>RAINBOW KATANA (BROKEN)</x:v>
      </x:c>
      <x:c r="C509" s="12" t="str">
        <x:v>weapon</x:v>
      </x:c>
      <x:c r="D509" s="12" t="str">
        <x:v>bow</x:v>
      </x:c>
      <x:c r="E509" s="12" t="str">
        <x:v>early</x:v>
      </x:c>
      <x:c r="F509" s="12" t="str">
        <x:v>rare</x:v>
      </x:c>
      <x:c r="G509" s="12" t="str">
        <x:v>Rainbow Katana (Broken) — Payoff</x:v>
      </x:c>
      <x:c r="H509" s="34" t="n">
        <x:v>3</x:v>
      </x:c>
      <x:c r="I509" s="34" t="str">
        <x:v>attack</x:v>
      </x:c>
      <x:c r="J509" s="34" t="n">
        <x:v>6</x:v>
      </x:c>
      <x:c r="K509" s="34" t="n">
        <x:v>3</x:v>
      </x:c>
      <x:c r="L509" s="34" t="str"/>
      <x:c r="M509" s="12" t="str">
        <x:v>Poison 2</x:v>
      </x:c>
      <x:c r="N509" s="12" t="str">
        <x:v>Ranged, Marking, Precise, Payoff, WeakPoint</x:v>
      </x:c>
      <x:c r="O509" s="12" t="str">
        <x:v>Deal 6 damage and 3 break damage. If this breaks a weak point, resolve Poison 2 and the cleanHands rider.</x:v>
      </x:c>
      <x:c r="P509" s="12" t="str">
        <x:v>Deal 6 damage and 3 break damage. If the weak point breaks, apply Poison 2 and resolve: If you have no Bleed, Poison or Burn, add +1 to all listed values.</x:v>
      </x:c>
      <x:c r="Q509" s="12" t="str"/>
      <x:c r="R509" s="12" t="str">
        <x:v>quirk: cleanHands | countsAsCounter False, firstCounterFree False</x:v>
      </x:c>
      <x:c r="S509" s="12" t="str">
        <x:v>a3f4e31a8997</x:v>
      </x:c>
      <x:c r="T509" s="12" t="n">
        <x:f>COUNTIF($S$2:$S$757,S509)</x:f>
        <x:v>1</x:v>
      </x:c>
      <x:c r="U509" s="12" t="str">
        <x:f>IF(T509=1,"OK","DUPLICATE")</x:f>
        <x:v>OK</x:v>
      </x:c>
    </x:row>
    <x:row r="510" ht="39.599998474121094" hidden="0" customHeight="1">
      <x:c r="A510" s="12" t="str">
        <x:v>Rainbow Wing Belt</x:v>
      </x:c>
      <x:c r="B510" s="12" t="str">
        <x:v>RAINBOW WING BELT</x:v>
      </x:c>
      <x:c r="C510" s="12" t="str">
        <x:v>weapon</x:v>
      </x:c>
      <x:c r="D510" s="12" t="str">
        <x:v>bow</x:v>
      </x:c>
      <x:c r="E510" s="12" t="str">
        <x:v>mid</x:v>
      </x:c>
      <x:c r="F510" s="12" t="str">
        <x:v>rare</x:v>
      </x:c>
      <x:c r="G510" s="12" t="str">
        <x:v>Rainbow Wing Belt — Opening Strike</x:v>
      </x:c>
      <x:c r="H510" s="34" t="n">
        <x:v>1</x:v>
      </x:c>
      <x:c r="I510" s="34" t="str">
        <x:v>attack</x:v>
      </x:c>
      <x:c r="J510" s="34" t="n">
        <x:v>5</x:v>
      </x:c>
      <x:c r="K510" s="34" t="n">
        <x:v>2</x:v>
      </x:c>
      <x:c r="L510" s="34" t="str"/>
      <x:c r="M510" s="12" t="str">
        <x:v>Shock 1 | Target: Dung Beetle Knight</x:v>
      </x:c>
      <x:c r="N510" s="12" t="str">
        <x:v>Ranged, Marking, Precise, Attack</x:v>
      </x:c>
      <x:c r="O510" s="12" t="str">
        <x:v>Deal 5 damage. Apply Shock 1 if the target has a Dung Beetle Knight weak point, otherwise gain Marked 1.</x:v>
      </x:c>
      <x:c r="P510" s="12" t="str">
        <x:v>Deal 5 damage with Rainbow Wing Belt. Apply Shock 1 against a matching Dung Beetle Knight weak point; otherwise apply Marked 1. If this would drop you to 0 HP, resolve the card first, then die if still at 0 HP.</x:v>
      </x:c>
      <x:c r="Q510" s="12" t="str"/>
      <x:c r="R510" s="12" t="str">
        <x:v>quirk: lastLight</x:v>
      </x:c>
      <x:c r="S510" s="12" t="str">
        <x:v>4ee04c161af0</x:v>
      </x:c>
      <x:c r="T510" s="12" t="n">
        <x:f>COUNTIF($S$2:$S$757,S510)</x:f>
        <x:v>1</x:v>
      </x:c>
      <x:c r="U510" s="12" t="str">
        <x:f>IF(T510=1,"OK","DUPLICATE")</x:f>
        <x:v>OK</x:v>
      </x:c>
    </x:row>
    <x:row r="511" ht="26.399999618530273" hidden="0" customHeight="1">
      <x:c r="A511" s="12" t="str">
        <x:v>Rainbow Wing Belt</x:v>
      </x:c>
      <x:c r="B511" s="12" t="str">
        <x:v>RAINBOW WING BELT</x:v>
      </x:c>
      <x:c r="C511" s="12" t="str">
        <x:v>weapon</x:v>
      </x:c>
      <x:c r="D511" s="12" t="str">
        <x:v>bow</x:v>
      </x:c>
      <x:c r="E511" s="12" t="str">
        <x:v>mid</x:v>
      </x:c>
      <x:c r="F511" s="12" t="str">
        <x:v>rare</x:v>
      </x:c>
      <x:c r="G511" s="12" t="str">
        <x:v>Rainbow Wing Belt — Technique</x:v>
      </x:c>
      <x:c r="H511" s="34" t="n">
        <x:v>2</x:v>
      </x:c>
      <x:c r="I511" s="34" t="str">
        <x:v>skill</x:v>
      </x:c>
      <x:c r="J511" s="34" t="str"/>
      <x:c r="K511" s="34" t="str"/>
      <x:c r="L511" s="34" t="n">
        <x:v>3</x:v>
      </x:c>
      <x:c r="M511" s="12" t="str">
        <x:v>Opens: True</x:v>
      </x:c>
      <x:c r="N511" s="12" t="str">
        <x:v>Ranged, Marking, Precise, Setup</x:v>
      </x:c>
      <x:c r="O511" s="12" t="str">
        <x:v>Mark a wing, eye or distant weak point; ranged attacks ignore Guarded 1. Also gain 3 block.</x:v>
      </x:c>
      <x:c r="P511" s="12" t="str">
        <x:v>Mark a wing, eye or distant weak point; ranged attacks ignore Guarded 1. Gain 3 block. If this would drop you to 0 HP, resolve the card first, then die if still at 0 HP.</x:v>
      </x:c>
      <x:c r="Q511" s="12" t="str"/>
      <x:c r="R511" s="12" t="str">
        <x:v>quirk: lastLight</x:v>
      </x:c>
      <x:c r="S511" s="12" t="str">
        <x:v>642b7c9b858d</x:v>
      </x:c>
      <x:c r="T511" s="12" t="n">
        <x:f>COUNTIF($S$2:$S$757,S511)</x:f>
        <x:v>1</x:v>
      </x:c>
      <x:c r="U511" s="12" t="str">
        <x:f>IF(T511=1,"OK","DUPLICATE")</x:f>
        <x:v>OK</x:v>
      </x:c>
    </x:row>
    <x:row r="512" ht="26.399999618530273" hidden="0" customHeight="1">
      <x:c r="A512" s="12" t="str">
        <x:v>Rainbow Wing Belt</x:v>
      </x:c>
      <x:c r="B512" s="12" t="str">
        <x:v>RAINBOW WING BELT</x:v>
      </x:c>
      <x:c r="C512" s="12" t="str">
        <x:v>weapon</x:v>
      </x:c>
      <x:c r="D512" s="12" t="str">
        <x:v>bow</x:v>
      </x:c>
      <x:c r="E512" s="12" t="str">
        <x:v>mid</x:v>
      </x:c>
      <x:c r="F512" s="12" t="str">
        <x:v>rare</x:v>
      </x:c>
      <x:c r="G512" s="12" t="str">
        <x:v>Rainbow Wing Belt — Payoff</x:v>
      </x:c>
      <x:c r="H512" s="34" t="n">
        <x:v>2</x:v>
      </x:c>
      <x:c r="I512" s="34" t="str">
        <x:v>attack</x:v>
      </x:c>
      <x:c r="J512" s="34" t="n">
        <x:v>9</x:v>
      </x:c>
      <x:c r="K512" s="34" t="n">
        <x:v>3</x:v>
      </x:c>
      <x:c r="L512" s="34" t="str"/>
      <x:c r="M512" s="12" t="str">
        <x:v>Shock 1</x:v>
      </x:c>
      <x:c r="N512" s="12" t="str">
        <x:v>Ranged, Marking, Precise, Payoff, WeakPoint</x:v>
      </x:c>
      <x:c r="O512" s="12" t="str">
        <x:v>Deal 9 damage and 3 break damage. If this breaks a weak point, resolve Shock 1 and the lastLight rider.</x:v>
      </x:c>
      <x:c r="P512" s="12" t="str">
        <x:v>Deal 9 damage and 3 break damage. If the weak point breaks, apply Shock 1 and resolve: If this would drop you to 0 HP, resolve the card first, then die if still at 0 HP.</x:v>
      </x:c>
      <x:c r="Q512" s="12" t="str"/>
      <x:c r="R512" s="12" t="str">
        <x:v>quirk: lastLight | countsAsCounter False, firstCounterFree False</x:v>
      </x:c>
      <x:c r="S512" s="12" t="str">
        <x:v>443e1ded9fe2</x:v>
      </x:c>
      <x:c r="T512" s="12" t="n">
        <x:f>COUNTIF($S$2:$S$757,S512)</x:f>
        <x:v>1</x:v>
      </x:c>
      <x:c r="U512" s="12" t="str">
        <x:f>IF(T512=1,"OK","DUPLICATE")</x:f>
        <x:v>OK</x:v>
      </x:c>
    </x:row>
    <x:row r="513" ht="39.599998474121094" hidden="0" customHeight="1">
      <x:c r="A513" s="12" t="str">
        <x:v>Raptor-Worm Collar</x:v>
      </x:c>
      <x:c r="B513" s="12" t="str">
        <x:v>RAPTOR-WORM COLLAR</x:v>
      </x:c>
      <x:c r="C513" s="12" t="str">
        <x:v>tool</x:v>
      </x:c>
      <x:c r="D513" s="12" t="str">
        <x:v>tool</x:v>
      </x:c>
      <x:c r="E513" s="12" t="str">
        <x:v>mid</x:v>
      </x:c>
      <x:c r="F513" s="12" t="str">
        <x:v>uncommon</x:v>
      </x:c>
      <x:c r="G513" s="12" t="str">
        <x:v>Raptor-Worm Collar — Use</x:v>
      </x:c>
      <x:c r="H513" s="34" t="n">
        <x:v>1</x:v>
      </x:c>
      <x:c r="I513" s="34" t="str">
        <x:v>skill</x:v>
      </x:c>
      <x:c r="J513" s="34" t="str"/>
      <x:c r="K513" s="34" t="str"/>
      <x:c r="L513" s="34" t="str"/>
      <x:c r="M513" s="12" t="str">
        <x:v>Shock 2</x:v>
      </x:c>
      <x:c r="N513" s="12" t="str">
        <x:v>Tool, Harvest, Retreat</x:v>
      </x:c>
      <x:c r="O513" s="12" t="str">
        <x:v>Gain +3 to the next harvest, retreat, or weak-point test. If it fails, apply Shock 2 to the quarry or clear it from a survivor.</x:v>
      </x:c>
      <x:c r="P513" s="12" t="str">
        <x:v>Gain +3 to the next harvest, retreat, or weak-point test linked to Light Forging. On failure, either apply Shock 2 to the quarry or clear that status from a survivor. If used on a hunt node, also mark one gathered resource as confirmed.</x:v>
      </x:c>
      <x:c r="Q513" s="12" t="str"/>
      <x:c r="R513" s="12" t="str">
        <x:v>quirk: retreat</x:v>
      </x:c>
      <x:c r="S513" s="12" t="str">
        <x:v>5fbe1dbda133</x:v>
      </x:c>
      <x:c r="T513" s="12" t="n">
        <x:f>COUNTIF($S$2:$S$757,S513)</x:f>
        <x:v>1</x:v>
      </x:c>
      <x:c r="U513" s="12" t="str">
        <x:f>IF(T513=1,"OK","DUPLICATE")</x:f>
        <x:v>OK</x:v>
      </x:c>
    </x:row>
    <x:row r="514" ht="52.79999923706055" hidden="0" customHeight="1">
      <x:c r="A514" s="12" t="str">
        <x:v>Raptor-Worm Collar</x:v>
      </x:c>
      <x:c r="B514" s="12" t="str">
        <x:v>RAPTOR-WORM COLLAR</x:v>
      </x:c>
      <x:c r="C514" s="12" t="str">
        <x:v>tool</x:v>
      </x:c>
      <x:c r="D514" s="12" t="str">
        <x:v>tool</x:v>
      </x:c>
      <x:c r="E514" s="12" t="str">
        <x:v>mid</x:v>
      </x:c>
      <x:c r="F514" s="12" t="str">
        <x:v>uncommon</x:v>
      </x:c>
      <x:c r="G514" s="12" t="str">
        <x:v>Raptor-Worm Collar — Contingency</x:v>
      </x:c>
      <x:c r="H514" s="34" t="n">
        <x:v>1</x:v>
      </x:c>
      <x:c r="I514" s="34" t="str">
        <x:v>reaction</x:v>
      </x:c>
      <x:c r="J514" s="34" t="str"/>
      <x:c r="K514" s="34" t="str"/>
      <x:c r="L514" s="34" t="str"/>
      <x:c r="M514" s="12" t="str"/>
      <x:c r="N514" s="12" t="str">
        <x:v>Tool, Harvest, Retreat</x:v>
      </x:c>
      <x:c r="O514" s="12" t="str">
        <x:v>When a hunt or monster consequence is previewed, reduce it by 3; on retreat, preserve 1 gathered resource; After this resolves, one adjacent ally gains Guarded 1.</x:v>
      </x:c>
      <x:c r="P514" s="12" t="str">
        <x:v>When a hunt event, retreat roll, or monster consequence is previewed, reduce the penalty by 3. If retreating, preserve 1 gathered resource. If used on a hunt node, also mark one gathered resource as confirmed. After this resolves, one adjacent ally gains Guarded 1.</x:v>
      </x:c>
      <x:c r="Q514" s="12" t="str"/>
      <x:c r="R514" s="12" t="str">
        <x:v>quirk: retreat+guardedAlly | uniqueRider:guardedAlly</x:v>
      </x:c>
      <x:c r="S514" s="12" t="str">
        <x:v>b2d90f687805</x:v>
      </x:c>
      <x:c r="T514" s="12" t="n">
        <x:f>COUNTIF($S$2:$S$757,S514)</x:f>
        <x:v>1</x:v>
      </x:c>
      <x:c r="U514" s="12" t="str">
        <x:f>IF(T514=1,"OK","DUPLICATE")</x:f>
        <x:v>OK</x:v>
      </x:c>
    </x:row>
    <x:row r="515" ht="39.599998474121094" hidden="0" customHeight="1">
      <x:c r="A515" s="12" t="str">
        <x:v>Stitched Hide Armor Set</x:v>
      </x:c>
      <x:c r="B515" s="12" t="str">
        <x:v>RAWHIDE ARMOR SET</x:v>
      </x:c>
      <x:c r="C515" s="12" t="str">
        <x:v>set</x:v>
      </x:c>
      <x:c r="D515" s="12" t="str">
        <x:v>armor</x:v>
      </x:c>
      <x:c r="E515" s="12" t="str">
        <x:v>early</x:v>
      </x:c>
      <x:c r="F515" s="12" t="str">
        <x:v>uncommon</x:v>
      </x:c>
      <x:c r="G515" s="12" t="str">
        <x:v>Stitched Hide Armor Set — Brace</x:v>
      </x:c>
      <x:c r="H515" s="34" t="n">
        <x:v>1</x:v>
      </x:c>
      <x:c r="I515" s="34" t="str">
        <x:v>skill</x:v>
      </x:c>
      <x:c r="J515" s="34" t="str"/>
      <x:c r="K515" s="34" t="str"/>
      <x:c r="L515" s="34" t="n">
        <x:v>3</x:v>
      </x:c>
      <x:c r="M515" s="12" t="str"/>
      <x:c r="N515" s="12" t="str">
        <x:v>Defensive, Party, WoundCare</x:v>
      </x:c>
      <x:c r="O515" s="12" t="str">
        <x:v>Gain 3 block and Guarded 3. If hit before your next turn, reduce Blind or Panic by 1.</x:v>
      </x:c>
      <x:c r="P515" s="12" t="str">
        <x:v>Gain 3 block and Guarded 3. If the next monster hit lands before your next turn, reduce Blind or Panic by 1 after damage. If you have Guarded, convert 1 Guarded into +2 damage.</x:v>
      </x:c>
      <x:c r="Q515" s="12" t="str"/>
      <x:c r="R515" s="12" t="str">
        <x:v>quirk: guarded</x:v>
      </x:c>
      <x:c r="S515" s="12" t="str">
        <x:v>18d03a447173</x:v>
      </x:c>
      <x:c r="T515" s="12" t="n">
        <x:f>COUNTIF($S$2:$S$757,S515)</x:f>
        <x:v>1</x:v>
      </x:c>
      <x:c r="U515" s="12" t="str">
        <x:f>IF(T515=1,"OK","DUPLICATE")</x:f>
        <x:v>OK</x:v>
      </x:c>
    </x:row>
    <x:row r="516" ht="39.599998474121094" hidden="0" customHeight="1">
      <x:c r="A516" s="12" t="str">
        <x:v>Stitched Hide Armor Set</x:v>
      </x:c>
      <x:c r="B516" s="12" t="str">
        <x:v>RAWHIDE ARMOR SET</x:v>
      </x:c>
      <x:c r="C516" s="12" t="str">
        <x:v>set</x:v>
      </x:c>
      <x:c r="D516" s="12" t="str">
        <x:v>armor</x:v>
      </x:c>
      <x:c r="E516" s="12" t="str">
        <x:v>early</x:v>
      </x:c>
      <x:c r="F516" s="12" t="str">
        <x:v>uncommon</x:v>
      </x:c>
      <x:c r="G516" s="12" t="str">
        <x:v>Stitched Hide Armor Set — Setline</x:v>
      </x:c>
      <x:c r="H516" s="34" t="n">
        <x:v>2</x:v>
      </x:c>
      <x:c r="I516" s="34" t="str">
        <x:v>reaction</x:v>
      </x:c>
      <x:c r="J516" s="34" t="str"/>
      <x:c r="K516" s="34" t="str"/>
      <x:c r="L516" s="34" t="n">
        <x:v>6</x:v>
      </x:c>
      <x:c r="M516" s="12" t="str"/>
      <x:c r="N516" s="12" t="str">
        <x:v>Defensive, Party, WoundCare, Reaction</x:v>
      </x:c>
      <x:c r="O516" s="12" t="str">
        <x:v>After damage is previewed, prevent 6 damage. Then give the next ally Guarded 1.</x:v>
      </x:c>
      <x:c r="P516" s="12" t="str">
        <x:v>After incoming damage is previewed, prevent 6 damage with the set slot. Then the next ally gains Guarded 1. If you have Guarded, convert 1 Guarded into +2 damage.</x:v>
      </x:c>
      <x:c r="Q516" s="12" t="str"/>
      <x:c r="R516" s="12" t="str">
        <x:v>quirk: guarded</x:v>
      </x:c>
      <x:c r="S516" s="12" t="str">
        <x:v>99d5a9322bbd</x:v>
      </x:c>
      <x:c r="T516" s="12" t="n">
        <x:f>COUNTIF($S$2:$S$757,S516)</x:f>
        <x:v>1</x:v>
      </x:c>
      <x:c r="U516" s="12" t="str">
        <x:f>IF(T516=1,"OK","DUPLICATE")</x:f>
        <x:v>OK</x:v>
      </x:c>
    </x:row>
    <x:row r="517" ht="39.599998474121094" hidden="0" customHeight="1">
      <x:c r="A517" s="12" t="str">
        <x:v>Stitched Hide Treads</x:v>
      </x:c>
      <x:c r="B517" s="12" t="str">
        <x:v>RAWHIDE BOOTS</x:v>
      </x:c>
      <x:c r="C517" s="12" t="str">
        <x:v>legs</x:v>
      </x:c>
      <x:c r="D517" s="12" t="str">
        <x:v>armor</x:v>
      </x:c>
      <x:c r="E517" s="12" t="str">
        <x:v>early</x:v>
      </x:c>
      <x:c r="F517" s="12" t="str">
        <x:v>common</x:v>
      </x:c>
      <x:c r="G517" s="12" t="str">
        <x:v>Stitched Hide Treads — Brace</x:v>
      </x:c>
      <x:c r="H517" s="34" t="n">
        <x:v>1</x:v>
      </x:c>
      <x:c r="I517" s="34" t="str">
        <x:v>skill</x:v>
      </x:c>
      <x:c r="J517" s="34" t="str"/>
      <x:c r="K517" s="34" t="str"/>
      <x:c r="L517" s="34" t="n">
        <x:v>4</x:v>
      </x:c>
      <x:c r="M517" s="12" t="str"/>
      <x:c r="N517" s="12" t="str">
        <x:v>Defensive, Party, WoundCare</x:v>
      </x:c>
      <x:c r="O517" s="12" t="str">
        <x:v>Gain 4 block and Guarded 1. If hit before your next turn, reduce Stagger or Panic by 1.</x:v>
      </x:c>
      <x:c r="P517" s="12" t="str">
        <x:v>Gain 4 block and Guarded 1. If the next monster hit lands before your next turn, reduce Stagger or Panic by 1 after damage. If you have any wound, add +1 damage but gain Panic 1.</x:v>
      </x:c>
      <x:c r="Q517" s="12" t="str"/>
      <x:c r="R517" s="12" t="str">
        <x:v>quirk: wounded</x:v>
      </x:c>
      <x:c r="S517" s="12" t="str">
        <x:v>f255b5bb2042</x:v>
      </x:c>
      <x:c r="T517" s="12" t="n">
        <x:f>COUNTIF($S$2:$S$757,S517)</x:f>
        <x:v>1</x:v>
      </x:c>
      <x:c r="U517" s="12" t="str">
        <x:f>IF(T517=1,"OK","DUPLICATE")</x:f>
        <x:v>OK</x:v>
      </x:c>
    </x:row>
    <x:row r="518" ht="39.599998474121094" hidden="0" customHeight="1">
      <x:c r="A518" s="12" t="str">
        <x:v>Stitched Hide Treads</x:v>
      </x:c>
      <x:c r="B518" s="12" t="str">
        <x:v>RAWHIDE BOOTS</x:v>
      </x:c>
      <x:c r="C518" s="12" t="str">
        <x:v>legs</x:v>
      </x:c>
      <x:c r="D518" s="12" t="str">
        <x:v>armor</x:v>
      </x:c>
      <x:c r="E518" s="12" t="str">
        <x:v>early</x:v>
      </x:c>
      <x:c r="F518" s="12" t="str">
        <x:v>common</x:v>
      </x:c>
      <x:c r="G518" s="12" t="str">
        <x:v>Stitched Hide Treads — Fitted Plate</x:v>
      </x:c>
      <x:c r="H518" s="34" t="n">
        <x:v>1</x:v>
      </x:c>
      <x:c r="I518" s="34" t="str">
        <x:v>reaction</x:v>
      </x:c>
      <x:c r="J518" s="34" t="str"/>
      <x:c r="K518" s="34" t="str"/>
      <x:c r="L518" s="34" t="n">
        <x:v>5</x:v>
      </x:c>
      <x:c r="M518" s="12" t="str"/>
      <x:c r="N518" s="12" t="str">
        <x:v>Defensive, Party, WoundCare, Reaction</x:v>
      </x:c>
      <x:c r="O518" s="12" t="str">
        <x:v>After damage is previewed, prevent 5 damage. Then give the next ally Guarded 1.</x:v>
      </x:c>
      <x:c r="P518" s="12" t="str">
        <x:v>After incoming damage is previewed, prevent 5 damage with the legs slot. Then the next ally gains Guarded 1. If you have any wound, add +1 damage but gain Panic 1.</x:v>
      </x:c>
      <x:c r="Q518" s="12" t="str"/>
      <x:c r="R518" s="12" t="str">
        <x:v>quirk: wounded</x:v>
      </x:c>
      <x:c r="S518" s="12" t="str">
        <x:v>1272c227ad8f</x:v>
      </x:c>
      <x:c r="T518" s="12" t="n">
        <x:f>COUNTIF($S$2:$S$757,S518)</x:f>
        <x:v>1</x:v>
      </x:c>
      <x:c r="U518" s="12" t="str">
        <x:f>IF(T518=1,"OK","DUPLICATE")</x:f>
        <x:v>OK</x:v>
      </x:c>
    </x:row>
    <x:row r="519" ht="26.399999618530273" hidden="0" customHeight="1">
      <x:c r="A519" s="12" t="str">
        <x:v>Stitched Hide Drum</x:v>
      </x:c>
      <x:c r="B519" s="12" t="str">
        <x:v>RAWHIDE DRUM</x:v>
      </x:c>
      <x:c r="C519" s="12" t="str">
        <x:v>tool</x:v>
      </x:c>
      <x:c r="D519" s="12" t="str">
        <x:v>instrument</x:v>
      </x:c>
      <x:c r="E519" s="12" t="str">
        <x:v>early</x:v>
      </x:c>
      <x:c r="F519" s="12" t="str">
        <x:v>common</x:v>
      </x:c>
      <x:c r="G519" s="12" t="str">
        <x:v>Stitched Hide Drum — Resonance</x:v>
      </x:c>
      <x:c r="H519" s="34" t="n">
        <x:v>1</x:v>
      </x:c>
      <x:c r="I519" s="34" t="str">
        <x:v>support</x:v>
      </x:c>
      <x:c r="J519" s="34" t="str"/>
      <x:c r="K519" s="34" t="str"/>
      <x:c r="L519" s="34" t="n">
        <x:v>5</x:v>
      </x:c>
      <x:c r="M519" s="12" t="str"/>
      <x:c r="N519" s="12" t="str">
        <x:v>Support, Party, Panic</x:v>
      </x:c>
      <x:c r="O519" s="12" t="str">
        <x:v>Chosen ally gains 5 block and Prepared 2. Gain Panic 1.</x:v>
      </x:c>
      <x:c r="P519" s="12" t="str">
        <x:v>Chosen ally gains 5 block and Prepared 2. If the phase is wrong for this item, also gain Panic 1. On a failed harvest, keep one common fallback material.</x:v>
      </x:c>
      <x:c r="Q519" s="12" t="str"/>
      <x:c r="R519" s="12" t="str">
        <x:v>quirk: salvage</x:v>
      </x:c>
      <x:c r="S519" s="12" t="str">
        <x:v>05d8d909d44e</x:v>
      </x:c>
      <x:c r="T519" s="12" t="n">
        <x:f>COUNTIF($S$2:$S$757,S519)</x:f>
        <x:v>1</x:v>
      </x:c>
      <x:c r="U519" s="12" t="str">
        <x:f>IF(T519=1,"OK","DUPLICATE")</x:f>
        <x:v>OK</x:v>
      </x:c>
    </x:row>
    <x:row r="520" ht="39.599998474121094" hidden="0" customHeight="1">
      <x:c r="A520" s="12" t="str">
        <x:v>Stitched Hide Drum</x:v>
      </x:c>
      <x:c r="B520" s="12" t="str">
        <x:v>RAWHIDE DRUM</x:v>
      </x:c>
      <x:c r="C520" s="12" t="str">
        <x:v>tool</x:v>
      </x:c>
      <x:c r="D520" s="12" t="str">
        <x:v>instrument</x:v>
      </x:c>
      <x:c r="E520" s="12" t="str">
        <x:v>early</x:v>
      </x:c>
      <x:c r="F520" s="12" t="str">
        <x:v>common</x:v>
      </x:c>
      <x:c r="G520" s="12" t="str">
        <x:v>Stitched Hide Drum — Echo</x:v>
      </x:c>
      <x:c r="H520" s="34" t="n">
        <x:v>1</x:v>
      </x:c>
      <x:c r="I520" s="34" t="str">
        <x:v>reaction</x:v>
      </x:c>
      <x:c r="J520" s="34" t="str"/>
      <x:c r="K520" s="34" t="str"/>
      <x:c r="L520" s="34" t="str"/>
      <x:c r="M520" s="12" t="str"/>
      <x:c r="N520" s="12" t="str">
        <x:v>Support, Party, Panic</x:v>
      </x:c>
      <x:c r="O520" s="12" t="str">
        <x:v>After an ally breaks a weak point, give the next ally Guarded 1 or clear Panic 2.</x:v>
      </x:c>
      <x:c r="P520" s="12" t="str">
        <x:v>After an ally breaks a weak point or survives a hunt event, choose: next ally gains Guarded 1, or clear Panic 2. On a failed harvest, keep one common fallback material.</x:v>
      </x:c>
      <x:c r="Q520" s="12" t="str"/>
      <x:c r="R520" s="12" t="str">
        <x:v>quirk: salvage</x:v>
      </x:c>
      <x:c r="S520" s="12" t="str">
        <x:v>980a299337ce</x:v>
      </x:c>
      <x:c r="T520" s="12" t="n">
        <x:f>COUNTIF($S$2:$S$757,S520)</x:f>
        <x:v>1</x:v>
      </x:c>
      <x:c r="U520" s="12" t="str">
        <x:f>IF(T520=1,"OK","DUPLICATE")</x:f>
        <x:v>OK</x:v>
      </x:c>
    </x:row>
    <x:row r="521" ht="39.599998474121094" hidden="0" customHeight="1">
      <x:c r="A521" s="12" t="str">
        <x:v>Stitched Hide Gloves</x:v>
      </x:c>
      <x:c r="B521" s="12" t="str">
        <x:v>RAWHIDE GLOVES</x:v>
      </x:c>
      <x:c r="C521" s="12" t="str">
        <x:v>arms</x:v>
      </x:c>
      <x:c r="D521" s="12" t="str">
        <x:v>armor</x:v>
      </x:c>
      <x:c r="E521" s="12" t="str">
        <x:v>early</x:v>
      </x:c>
      <x:c r="F521" s="12" t="str">
        <x:v>common</x:v>
      </x:c>
      <x:c r="G521" s="12" t="str">
        <x:v>Stitched Hide Gloves — Brace</x:v>
      </x:c>
      <x:c r="H521" s="34" t="n">
        <x:v>1</x:v>
      </x:c>
      <x:c r="I521" s="34" t="str">
        <x:v>skill</x:v>
      </x:c>
      <x:c r="J521" s="34" t="str"/>
      <x:c r="K521" s="34" t="str"/>
      <x:c r="L521" s="34" t="n">
        <x:v>2</x:v>
      </x:c>
      <x:c r="M521" s="12" t="str"/>
      <x:c r="N521" s="12" t="str">
        <x:v>Defensive, Party, WoundCare</x:v>
      </x:c>
      <x:c r="O521" s="12" t="str">
        <x:v>Gain 2 block and Guarded 3. If hit before your next turn, reduce Marked or Panic by 1.</x:v>
      </x:c>
      <x:c r="P521" s="12" t="str">
        <x:v>Gain 2 block and Guarded 3. If the next monster hit lands before your next turn, reduce Marked or Panic by 1 after damage. You may gain Panic 1 to increase the listed number by 2.</x:v>
      </x:c>
      <x:c r="Q521" s="12" t="str"/>
      <x:c r="R521" s="12" t="str">
        <x:v>quirk: panicBrake</x:v>
      </x:c>
      <x:c r="S521" s="12" t="str">
        <x:v>f648f9f53052</x:v>
      </x:c>
      <x:c r="T521" s="12" t="n">
        <x:f>COUNTIF($S$2:$S$757,S521)</x:f>
        <x:v>1</x:v>
      </x:c>
      <x:c r="U521" s="12" t="str">
        <x:f>IF(T521=1,"OK","DUPLICATE")</x:f>
        <x:v>OK</x:v>
      </x:c>
    </x:row>
    <x:row r="522" ht="39.599998474121094" hidden="0" customHeight="1">
      <x:c r="A522" s="12" t="str">
        <x:v>Stitched Hide Gloves</x:v>
      </x:c>
      <x:c r="B522" s="12" t="str">
        <x:v>RAWHIDE GLOVES</x:v>
      </x:c>
      <x:c r="C522" s="12" t="str">
        <x:v>arms</x:v>
      </x:c>
      <x:c r="D522" s="12" t="str">
        <x:v>armor</x:v>
      </x:c>
      <x:c r="E522" s="12" t="str">
        <x:v>early</x:v>
      </x:c>
      <x:c r="F522" s="12" t="str">
        <x:v>common</x:v>
      </x:c>
      <x:c r="G522" s="12" t="str">
        <x:v>Stitched Hide Gloves — Fitted Plate</x:v>
      </x:c>
      <x:c r="H522" s="34" t="n">
        <x:v>1</x:v>
      </x:c>
      <x:c r="I522" s="34" t="str">
        <x:v>reaction</x:v>
      </x:c>
      <x:c r="J522" s="34" t="str"/>
      <x:c r="K522" s="34" t="str"/>
      <x:c r="L522" s="34" t="n">
        <x:v>5</x:v>
      </x:c>
      <x:c r="M522" s="12" t="str"/>
      <x:c r="N522" s="12" t="str">
        <x:v>Defensive, Party, WoundCare, Reaction</x:v>
      </x:c>
      <x:c r="O522" s="12" t="str">
        <x:v>After damage is previewed, prevent 5 damage. Then give the next ally Guarded 1.</x:v>
      </x:c>
      <x:c r="P522" s="12" t="str">
        <x:v>After incoming damage is previewed, prevent 5 damage with the arms slot. Then the next ally gains Guarded 1. You may gain Panic 1 to increase the listed number by 2.</x:v>
      </x:c>
      <x:c r="Q522" s="12" t="str"/>
      <x:c r="R522" s="12" t="str">
        <x:v>quirk: panicBrake</x:v>
      </x:c>
      <x:c r="S522" s="12" t="str">
        <x:v>0d453c47b6e2</x:v>
      </x:c>
      <x:c r="T522" s="12" t="n">
        <x:f>COUNTIF($S$2:$S$757,S522)</x:f>
        <x:v>1</x:v>
      </x:c>
      <x:c r="U522" s="12" t="str">
        <x:f>IF(T522=1,"OK","DUPLICATE")</x:f>
        <x:v>OK</x:v>
      </x:c>
    </x:row>
    <x:row r="523" ht="39.599998474121094" hidden="0" customHeight="1">
      <x:c r="A523" s="12" t="str">
        <x:v>Stitched Hide Headband</x:v>
      </x:c>
      <x:c r="B523" s="12" t="str">
        <x:v>RAWHIDE HEADBAND</x:v>
      </x:c>
      <x:c r="C523" s="12" t="str">
        <x:v>head</x:v>
      </x:c>
      <x:c r="D523" s="12" t="str">
        <x:v>armor</x:v>
      </x:c>
      <x:c r="E523" s="12" t="str">
        <x:v>early</x:v>
      </x:c>
      <x:c r="F523" s="12" t="str">
        <x:v>common</x:v>
      </x:c>
      <x:c r="G523" s="12" t="str">
        <x:v>Stitched Hide Headband — Brace</x:v>
      </x:c>
      <x:c r="H523" s="34" t="n">
        <x:v>1</x:v>
      </x:c>
      <x:c r="I523" s="34" t="str">
        <x:v>skill</x:v>
      </x:c>
      <x:c r="J523" s="34" t="str"/>
      <x:c r="K523" s="34" t="str"/>
      <x:c r="L523" s="34" t="n">
        <x:v>3</x:v>
      </x:c>
      <x:c r="M523" s="12" t="str"/>
      <x:c r="N523" s="12" t="str">
        <x:v>Defensive, Party, WoundCare</x:v>
      </x:c>
      <x:c r="O523" s="12" t="str">
        <x:v>Gain 3 block and Guarded 1. If hit before your next turn, reduce Bleed or Panic by 1.</x:v>
      </x:c>
      <x:c r="P523" s="12" t="str">
        <x:v>Gain 3 block and Guarded 1. If the next monster hit lands before your next turn, reduce Bleed or Panic by 1 after damage. Chosen ally gains Guarded 1 after this resolves.</x:v>
      </x:c>
      <x:c r="Q523" s="12" t="str"/>
      <x:c r="R523" s="12" t="str">
        <x:v>quirk: ally</x:v>
      </x:c>
      <x:c r="S523" s="12" t="str">
        <x:v>dc1164490aae</x:v>
      </x:c>
      <x:c r="T523" s="12" t="n">
        <x:f>COUNTIF($S$2:$S$757,S523)</x:f>
        <x:v>1</x:v>
      </x:c>
      <x:c r="U523" s="12" t="str">
        <x:f>IF(T523=1,"OK","DUPLICATE")</x:f>
        <x:v>OK</x:v>
      </x:c>
    </x:row>
    <x:row r="524" ht="26.399999618530273" hidden="0" customHeight="1">
      <x:c r="A524" s="12" t="str">
        <x:v>Stitched Hide Headband</x:v>
      </x:c>
      <x:c r="B524" s="12" t="str">
        <x:v>RAWHIDE HEADBAND</x:v>
      </x:c>
      <x:c r="C524" s="12" t="str">
        <x:v>head</x:v>
      </x:c>
      <x:c r="D524" s="12" t="str">
        <x:v>armor</x:v>
      </x:c>
      <x:c r="E524" s="12" t="str">
        <x:v>early</x:v>
      </x:c>
      <x:c r="F524" s="12" t="str">
        <x:v>common</x:v>
      </x:c>
      <x:c r="G524" s="12" t="str">
        <x:v>Stitched Hide Headband — Fitted Plate</x:v>
      </x:c>
      <x:c r="H524" s="34" t="n">
        <x:v>2</x:v>
      </x:c>
      <x:c r="I524" s="34" t="str">
        <x:v>reaction</x:v>
      </x:c>
      <x:c r="J524" s="34" t="str"/>
      <x:c r="K524" s="34" t="str"/>
      <x:c r="L524" s="34" t="n">
        <x:v>4</x:v>
      </x:c>
      <x:c r="M524" s="12" t="str"/>
      <x:c r="N524" s="12" t="str">
        <x:v>Defensive, Party, WoundCare, Reaction</x:v>
      </x:c>
      <x:c r="O524" s="12" t="str">
        <x:v>After damage is previewed, prevent 4 damage. Then give the next ally Guarded 1.</x:v>
      </x:c>
      <x:c r="P524" s="12" t="str">
        <x:v>After incoming damage is previewed, prevent 4 damage with the head slot. Then the next ally gains Guarded 1. Chosen ally gains Guarded 1 after this resolves.</x:v>
      </x:c>
      <x:c r="Q524" s="12" t="str"/>
      <x:c r="R524" s="12" t="str">
        <x:v>quirk: ally</x:v>
      </x:c>
      <x:c r="S524" s="12" t="str">
        <x:v>0fd8bd1bba20</x:v>
      </x:c>
      <x:c r="T524" s="12" t="n">
        <x:f>COUNTIF($S$2:$S$757,S524)</x:f>
        <x:v>1</x:v>
      </x:c>
      <x:c r="U524" s="12" t="str">
        <x:f>IF(T524=1,"OK","DUPLICATE")</x:f>
        <x:v>OK</x:v>
      </x:c>
    </x:row>
    <x:row r="525" ht="39.599998474121094" hidden="0" customHeight="1">
      <x:c r="A525" s="12" t="str">
        <x:v>Stitched Hide Pants</x:v>
      </x:c>
      <x:c r="B525" s="12" t="str">
        <x:v>RAWHIDE PANTS</x:v>
      </x:c>
      <x:c r="C525" s="12" t="str">
        <x:v>waist</x:v>
      </x:c>
      <x:c r="D525" s="12" t="str">
        <x:v>armor</x:v>
      </x:c>
      <x:c r="E525" s="12" t="str">
        <x:v>early</x:v>
      </x:c>
      <x:c r="F525" s="12" t="str">
        <x:v>common</x:v>
      </x:c>
      <x:c r="G525" s="12" t="str">
        <x:v>Stitched Hide Pants — Brace</x:v>
      </x:c>
      <x:c r="H525" s="34" t="n">
        <x:v>1</x:v>
      </x:c>
      <x:c r="I525" s="34" t="str">
        <x:v>skill</x:v>
      </x:c>
      <x:c r="J525" s="34" t="str"/>
      <x:c r="K525" s="34" t="str"/>
      <x:c r="L525" s="34" t="n">
        <x:v>4</x:v>
      </x:c>
      <x:c r="M525" s="12" t="str"/>
      <x:c r="N525" s="12" t="str">
        <x:v>Defensive, Party, WoundCare</x:v>
      </x:c>
      <x:c r="O525" s="12" t="str">
        <x:v>Gain 4 block and Guarded 2. If hit before your next turn, reduce Burn or Panic by 1.</x:v>
      </x:c>
      <x:c r="P525" s="12" t="str">
        <x:v>Gain 4 block and Guarded 2. If the next monster hit lands before your next turn, reduce Burn or Panic by 1 after damage. If used on a hunt node, also mark one gathered resource as confirmed.</x:v>
      </x:c>
      <x:c r="Q525" s="12" t="str"/>
      <x:c r="R525" s="12" t="str">
        <x:v>quirk: retreat</x:v>
      </x:c>
      <x:c r="S525" s="12" t="str">
        <x:v>7085a630a1c8</x:v>
      </x:c>
      <x:c r="T525" s="12" t="n">
        <x:f>COUNTIF($S$2:$S$757,S525)</x:f>
        <x:v>1</x:v>
      </x:c>
      <x:c r="U525" s="12" t="str">
        <x:f>IF(T525=1,"OK","DUPLICATE")</x:f>
        <x:v>OK</x:v>
      </x:c>
    </x:row>
    <x:row r="526" ht="39.599998474121094" hidden="0" customHeight="1">
      <x:c r="A526" s="12" t="str">
        <x:v>Stitched Hide Pants</x:v>
      </x:c>
      <x:c r="B526" s="12" t="str">
        <x:v>RAWHIDE PANTS</x:v>
      </x:c>
      <x:c r="C526" s="12" t="str">
        <x:v>waist</x:v>
      </x:c>
      <x:c r="D526" s="12" t="str">
        <x:v>armor</x:v>
      </x:c>
      <x:c r="E526" s="12" t="str">
        <x:v>early</x:v>
      </x:c>
      <x:c r="F526" s="12" t="str">
        <x:v>common</x:v>
      </x:c>
      <x:c r="G526" s="12" t="str">
        <x:v>Stitched Hide Pants — Fitted Plate</x:v>
      </x:c>
      <x:c r="H526" s="34" t="n">
        <x:v>1</x:v>
      </x:c>
      <x:c r="I526" s="34" t="str">
        <x:v>reaction</x:v>
      </x:c>
      <x:c r="J526" s="34" t="str"/>
      <x:c r="K526" s="34" t="str"/>
      <x:c r="L526" s="34" t="n">
        <x:v>6</x:v>
      </x:c>
      <x:c r="M526" s="12" t="str"/>
      <x:c r="N526" s="12" t="str">
        <x:v>Defensive, Party, WoundCare, Reaction</x:v>
      </x:c>
      <x:c r="O526" s="12" t="str">
        <x:v>After damage is previewed, prevent 6 damage. Then give the next ally Guarded 1.</x:v>
      </x:c>
      <x:c r="P526" s="12" t="str">
        <x:v>After incoming damage is previewed, prevent 6 damage with the waist slot. Then the next ally gains Guarded 1. If used on a hunt node, also mark one gathered resource as confirmed.</x:v>
      </x:c>
      <x:c r="Q526" s="12" t="str"/>
      <x:c r="R526" s="12" t="str">
        <x:v>quirk: retreat</x:v>
      </x:c>
      <x:c r="S526" s="12" t="str">
        <x:v>421471197134</x:v>
      </x:c>
      <x:c r="T526" s="12" t="n">
        <x:f>COUNTIF($S$2:$S$757,S526)</x:f>
        <x:v>1</x:v>
      </x:c>
      <x:c r="U526" s="12" t="str">
        <x:f>IF(T526=1,"OK","DUPLICATE")</x:f>
        <x:v>OK</x:v>
      </x:c>
    </x:row>
    <x:row r="527" ht="39.599998474121094" hidden="0" customHeight="1">
      <x:c r="A527" s="12" t="str">
        <x:v>Stitched Hide Vest</x:v>
      </x:c>
      <x:c r="B527" s="12" t="str">
        <x:v>RAWHIDE VEST</x:v>
      </x:c>
      <x:c r="C527" s="12" t="str">
        <x:v>body</x:v>
      </x:c>
      <x:c r="D527" s="12" t="str">
        <x:v>armor</x:v>
      </x:c>
      <x:c r="E527" s="12" t="str">
        <x:v>early</x:v>
      </x:c>
      <x:c r="F527" s="12" t="str">
        <x:v>common</x:v>
      </x:c>
      <x:c r="G527" s="12" t="str">
        <x:v>Stitched Hide Vest — Brace</x:v>
      </x:c>
      <x:c r="H527" s="34" t="n">
        <x:v>1</x:v>
      </x:c>
      <x:c r="I527" s="34" t="str">
        <x:v>skill</x:v>
      </x:c>
      <x:c r="J527" s="34" t="str"/>
      <x:c r="K527" s="34" t="str"/>
      <x:c r="L527" s="34" t="n">
        <x:v>5</x:v>
      </x:c>
      <x:c r="M527" s="12" t="str"/>
      <x:c r="N527" s="12" t="str">
        <x:v>Defensive, Party, WoundCare</x:v>
      </x:c>
      <x:c r="O527" s="12" t="str">
        <x:v>Gain 5 block and Guarded 3. If hit before your next turn, reduce Poison or Panic by 1.</x:v>
      </x:c>
      <x:c r="P527" s="12" t="str">
        <x:v>Gain 5 block and Guarded 3. If the next monster hit lands before your next turn, reduce Poison or Panic by 1 after damage. If a tell is Open, add +2 to the listed damage or block value.</x:v>
      </x:c>
      <x:c r="Q527" s="12" t="str"/>
      <x:c r="R527" s="12" t="str">
        <x:v>quirk: openTell</x:v>
      </x:c>
      <x:c r="S527" s="12" t="str">
        <x:v>9df1c89ca0fc</x:v>
      </x:c>
      <x:c r="T527" s="12" t="n">
        <x:f>COUNTIF($S$2:$S$757,S527)</x:f>
        <x:v>1</x:v>
      </x:c>
      <x:c r="U527" s="12" t="str">
        <x:f>IF(T527=1,"OK","DUPLICATE")</x:f>
        <x:v>OK</x:v>
      </x:c>
    </x:row>
    <x:row r="528" ht="39.599998474121094" hidden="0" customHeight="1">
      <x:c r="A528" s="12" t="str">
        <x:v>Stitched Hide Vest</x:v>
      </x:c>
      <x:c r="B528" s="12" t="str">
        <x:v>RAWHIDE VEST</x:v>
      </x:c>
      <x:c r="C528" s="12" t="str">
        <x:v>body</x:v>
      </x:c>
      <x:c r="D528" s="12" t="str">
        <x:v>armor</x:v>
      </x:c>
      <x:c r="E528" s="12" t="str">
        <x:v>early</x:v>
      </x:c>
      <x:c r="F528" s="12" t="str">
        <x:v>common</x:v>
      </x:c>
      <x:c r="G528" s="12" t="str">
        <x:v>Stitched Hide Vest — Fitted Plate</x:v>
      </x:c>
      <x:c r="H528" s="34" t="n">
        <x:v>2</x:v>
      </x:c>
      <x:c r="I528" s="34" t="str">
        <x:v>reaction</x:v>
      </x:c>
      <x:c r="J528" s="34" t="str"/>
      <x:c r="K528" s="34" t="str"/>
      <x:c r="L528" s="34" t="n">
        <x:v>8</x:v>
      </x:c>
      <x:c r="M528" s="12" t="str"/>
      <x:c r="N528" s="12" t="str">
        <x:v>Defensive, Party, WoundCare, Reaction</x:v>
      </x:c>
      <x:c r="O528" s="12" t="str">
        <x:v>After damage is previewed, prevent 8 damage. Then give the next ally Guarded 1.</x:v>
      </x:c>
      <x:c r="P528" s="12" t="str">
        <x:v>After incoming damage is previewed, prevent 8 damage with the body slot. Then the next ally gains Guarded 1. If a tell is Open, add +2 to the listed damage or block value.</x:v>
      </x:c>
      <x:c r="Q528" s="12" t="str"/>
      <x:c r="R528" s="12" t="str">
        <x:v>quirk: openTell</x:v>
      </x:c>
      <x:c r="S528" s="12" t="str">
        <x:v>69ae10d48a25</x:v>
      </x:c>
      <x:c r="T528" s="12" t="n">
        <x:f>COUNTIF($S$2:$S$757,S528)</x:f>
        <x:v>1</x:v>
      </x:c>
      <x:c r="U528" s="12" t="str">
        <x:f>IF(T528=1,"OK","DUPLICATE")</x:f>
        <x:v>OK</x:v>
      </x:c>
    </x:row>
    <x:row r="529" ht="39.599998474121094" hidden="0" customHeight="1">
      <x:c r="A529" s="12" t="str">
        <x:v>Stitched Hide Whip</x:v>
      </x:c>
      <x:c r="B529" s="12" t="str">
        <x:v>RAWHIDE WHIP</x:v>
      </x:c>
      <x:c r="C529" s="12" t="str">
        <x:v>weapon</x:v>
      </x:c>
      <x:c r="D529" s="12" t="str">
        <x:v>whip</x:v>
      </x:c>
      <x:c r="E529" s="12" t="str">
        <x:v>early</x:v>
      </x:c>
      <x:c r="F529" s="12" t="str">
        <x:v>common</x:v>
      </x:c>
      <x:c r="G529" s="12" t="str">
        <x:v>Stitched Hide Whip — Opening Strike</x:v>
      </x:c>
      <x:c r="H529" s="34" t="n">
        <x:v>1</x:v>
      </x:c>
      <x:c r="I529" s="34" t="str">
        <x:v>attack</x:v>
      </x:c>
      <x:c r="J529" s="34" t="n">
        <x:v>2</x:v>
      </x:c>
      <x:c r="K529" s="34" t="n">
        <x:v>1</x:v>
      </x:c>
      <x:c r="L529" s="34" t="str"/>
      <x:c r="M529" s="12" t="str">
        <x:v>Snared 1 | Target: Settlement</x:v>
      </x:c>
      <x:c r="N529" s="12" t="str">
        <x:v>Reach, Marking, WeakPoint, Attack</x:v>
      </x:c>
      <x:c r="O529" s="12" t="str">
        <x:v>Deal 2 damage. Apply Snared 1 if the target has a Settlement weak point, otherwise gain Marked 1.</x:v>
      </x:c>
      <x:c r="P529" s="12" t="str">
        <x:v>Deal 2 damage with Stitched Hide Whip. Apply Snared 1 against a matching Settlement weak point; otherwise apply Marked 1. Chosen ally gains Guarded 1 after this resolves.</x:v>
      </x:c>
      <x:c r="Q529" s="12" t="str"/>
      <x:c r="R529" s="12" t="str">
        <x:v>quirk: ally</x:v>
      </x:c>
      <x:c r="S529" s="12" t="str">
        <x:v>5d7783dae12c</x:v>
      </x:c>
      <x:c r="T529" s="12" t="n">
        <x:f>COUNTIF($S$2:$S$757,S529)</x:f>
        <x:v>1</x:v>
      </x:c>
      <x:c r="U529" s="12" t="str">
        <x:f>IF(T529=1,"OK","DUPLICATE")</x:f>
        <x:v>OK</x:v>
      </x:c>
    </x:row>
    <x:row r="530" ht="26.399999618530273" hidden="0" customHeight="1">
      <x:c r="A530" s="12" t="str">
        <x:v>Stitched Hide Whip</x:v>
      </x:c>
      <x:c r="B530" s="12" t="str">
        <x:v>RAWHIDE WHIP</x:v>
      </x:c>
      <x:c r="C530" s="12" t="str">
        <x:v>weapon</x:v>
      </x:c>
      <x:c r="D530" s="12" t="str">
        <x:v>whip</x:v>
      </x:c>
      <x:c r="E530" s="12" t="str">
        <x:v>early</x:v>
      </x:c>
      <x:c r="F530" s="12" t="str">
        <x:v>common</x:v>
      </x:c>
      <x:c r="G530" s="12" t="str">
        <x:v>Stitched Hide Whip — Technique</x:v>
      </x:c>
      <x:c r="H530" s="34" t="n">
        <x:v>1</x:v>
      </x:c>
      <x:c r="I530" s="34" t="str">
        <x:v>skill</x:v>
      </x:c>
      <x:c r="J530" s="34" t="str"/>
      <x:c r="K530" s="34" t="str"/>
      <x:c r="L530" s="34" t="n">
        <x:v>1</x:v>
      </x:c>
      <x:c r="M530" s="12" t="str">
        <x:v>Opens: True</x:v>
      </x:c>
      <x:c r="N530" s="12" t="str">
        <x:v>Reach, Marking, WeakPoint, Setup</x:v>
      </x:c>
      <x:c r="O530" s="12" t="str">
        <x:v>Hook a limb; apply Snared 2, then Open a limb weak point if present. Also gain 1 block.</x:v>
      </x:c>
      <x:c r="P530" s="12" t="str">
        <x:v>Hook a limb; apply Snared 2, then Open a limb weak point if present. Gain 1 block. Chosen ally gains Guarded 1 after this resolves.</x:v>
      </x:c>
      <x:c r="Q530" s="12" t="str"/>
      <x:c r="R530" s="12" t="str">
        <x:v>quirk: ally</x:v>
      </x:c>
      <x:c r="S530" s="12" t="str">
        <x:v>c51f0ccb9cc4</x:v>
      </x:c>
      <x:c r="T530" s="12" t="n">
        <x:f>COUNTIF($S$2:$S$757,S530)</x:f>
        <x:v>1</x:v>
      </x:c>
      <x:c r="U530" s="12" t="str">
        <x:f>IF(T530=1,"OK","DUPLICATE")</x:f>
        <x:v>OK</x:v>
      </x:c>
    </x:row>
    <x:row r="531" ht="26.399999618530273" hidden="0" customHeight="1">
      <x:c r="A531" s="12" t="str">
        <x:v>Stitched Hide Whip</x:v>
      </x:c>
      <x:c r="B531" s="12" t="str">
        <x:v>RAWHIDE WHIP</x:v>
      </x:c>
      <x:c r="C531" s="12" t="str">
        <x:v>weapon</x:v>
      </x:c>
      <x:c r="D531" s="12" t="str">
        <x:v>whip</x:v>
      </x:c>
      <x:c r="E531" s="12" t="str">
        <x:v>early</x:v>
      </x:c>
      <x:c r="F531" s="12" t="str">
        <x:v>common</x:v>
      </x:c>
      <x:c r="G531" s="12" t="str">
        <x:v>Stitched Hide Whip — Payoff</x:v>
      </x:c>
      <x:c r="H531" s="34" t="n">
        <x:v>2</x:v>
      </x:c>
      <x:c r="I531" s="34" t="str">
        <x:v>attack</x:v>
      </x:c>
      <x:c r="J531" s="34" t="n">
        <x:v>4</x:v>
      </x:c>
      <x:c r="K531" s="34" t="n">
        <x:v>2</x:v>
      </x:c>
      <x:c r="L531" s="34" t="str"/>
      <x:c r="M531" s="12" t="str">
        <x:v>Snared 1</x:v>
      </x:c>
      <x:c r="N531" s="12" t="str">
        <x:v>Reach, Marking, WeakPoint, Payoff</x:v>
      </x:c>
      <x:c r="O531" s="12" t="str">
        <x:v>Deal 4 damage and 2 break damage. If this breaks a weak point, resolve Snared 1 and the ally rider.</x:v>
      </x:c>
      <x:c r="P531" s="12" t="str">
        <x:v>Deal 4 damage and 2 break damage. If the weak point breaks, apply Snared 1 and resolve: Chosen ally gains Guarded 1 after this resolves.</x:v>
      </x:c>
      <x:c r="Q531" s="12" t="str"/>
      <x:c r="R531" s="12" t="str">
        <x:v>quirk: ally | countsAsCounter False, firstCounterFree False</x:v>
      </x:c>
      <x:c r="S531" s="12" t="str">
        <x:v>165062c51d4d</x:v>
      </x:c>
      <x:c r="T531" s="12" t="n">
        <x:f>COUNTIF($S$2:$S$757,S531)</x:f>
        <x:v>1</x:v>
      </x:c>
      <x:c r="U531" s="12" t="str">
        <x:f>IF(T531=1,"OK","DUPLICATE")</x:f>
        <x:v>OK</x:v>
      </x:c>
    </x:row>
    <x:row r="532" ht="39.599998474121094" hidden="0" customHeight="1">
      <x:c r="A532" s="12" t="str">
        <x:v>Red Charm</x:v>
      </x:c>
      <x:c r="B532" s="12" t="str">
        <x:v>RED CHARM</x:v>
      </x:c>
      <x:c r="C532" s="12" t="str">
        <x:v>charm</x:v>
      </x:c>
      <x:c r="D532" s="12" t="str">
        <x:v>charm</x:v>
      </x:c>
      <x:c r="E532" s="12" t="str">
        <x:v>early</x:v>
      </x:c>
      <x:c r="F532" s="12" t="str">
        <x:v>uncommon</x:v>
      </x:c>
      <x:c r="G532" s="12" t="str">
        <x:v>Red Charm — Omen</x:v>
      </x:c>
      <x:c r="H532" s="34" t="n">
        <x:v>0</x:v>
      </x:c>
      <x:c r="I532" s="34" t="str">
        <x:v>skill</x:v>
      </x:c>
      <x:c r="J532" s="34" t="str"/>
      <x:c r="K532" s="34" t="str"/>
      <x:c r="L532" s="34" t="str"/>
      <x:c r="M532" s="12" t="str"/>
      <x:c r="N532" s="12" t="str">
        <x:v>Charm, Passive, Survival</x:v>
      </x:c>
      <x:c r="O532" s="12" t="str">
        <x:v>Peek at the next quarry card or weak-point reward. You may mark it; if you do, gain Panic 1.</x:v>
      </x:c>
      <x:c r="P532" s="12" t="str">
        <x:v>Peek at the next quarry AI, hit-location or weak-point reward, depending on screen. You may mark it. If marked, gain Panic 1. If you play a third attack this round, gain Panic 1.</x:v>
      </x:c>
      <x:c r="Q532" s="12" t="str"/>
      <x:c r="R532" s="12" t="str">
        <x:v>quirk: frenzyCheck</x:v>
      </x:c>
      <x:c r="S532" s="12" t="str">
        <x:v>b3a79014e4cc</x:v>
      </x:c>
      <x:c r="T532" s="12" t="n">
        <x:f>COUNTIF($S$2:$S$757,S532)</x:f>
        <x:v>1</x:v>
      </x:c>
      <x:c r="U532" s="12" t="str">
        <x:f>IF(T532=1,"OK","DUPLICATE")</x:f>
        <x:v>OK</x:v>
      </x:c>
    </x:row>
    <x:row r="533" ht="39.599998474121094" hidden="0" customHeight="1">
      <x:c r="A533" s="12" t="str">
        <x:v>Red Charm</x:v>
      </x:c>
      <x:c r="B533" s="12" t="str">
        <x:v>RED CHARM</x:v>
      </x:c>
      <x:c r="C533" s="12" t="str">
        <x:v>charm</x:v>
      </x:c>
      <x:c r="D533" s="12" t="str">
        <x:v>charm</x:v>
      </x:c>
      <x:c r="E533" s="12" t="str">
        <x:v>early</x:v>
      </x:c>
      <x:c r="F533" s="12" t="str">
        <x:v>uncommon</x:v>
      </x:c>
      <x:c r="G533" s="12" t="str">
        <x:v>Red Charm — Glimmer</x:v>
      </x:c>
      <x:c r="H533" s="34" t="n">
        <x:v>0</x:v>
      </x:c>
      <x:c r="I533" s="34" t="str">
        <x:v>reaction</x:v>
      </x:c>
      <x:c r="J533" s="34" t="str"/>
      <x:c r="K533" s="34" t="str"/>
      <x:c r="L533" s="34" t="str"/>
      <x:c r="M533" s="12" t="str"/>
      <x:c r="N533" s="12" t="str">
        <x:v>Charm, Passive, Survival</x:v>
      </x:c>
      <x:c r="O533" s="12" t="str">
        <x:v>When Shock or a hunt consequence would affect you, reduce it by 2; exhaust this charm.</x:v>
      </x:c>
      <x:c r="P533" s="12" t="str">
        <x:v>When Shock, Panic, or a hunt consequence would affect this survivor, reduce it by 2; exhaust this charm until the next settlement phase. If you play a third attack this round, gain Panic 1.</x:v>
      </x:c>
      <x:c r="Q533" s="12" t="str"/>
      <x:c r="R533" s="12" t="str">
        <x:v>quirk: frenzyCheck</x:v>
      </x:c>
      <x:c r="S533" s="12" t="str">
        <x:v>dc21d53bdfbc</x:v>
      </x:c>
      <x:c r="T533" s="12" t="n">
        <x:f>COUNTIF($S$2:$S$757,S533)</x:f>
        <x:v>1</x:v>
      </x:c>
      <x:c r="U533" s="12" t="str">
        <x:f>IF(T533=1,"OK","DUPLICATE")</x:f>
        <x:v>OK</x:v>
      </x:c>
    </x:row>
    <x:row r="534" ht="39.599998474121094" hidden="0" customHeight="1">
      <x:c r="A534" s="12" t="str">
        <x:v>Red Power Core</x:v>
      </x:c>
      <x:c r="B534" s="12" t="str">
        <x:v>RED POWER CORE</x:v>
      </x:c>
      <x:c r="C534" s="12" t="str">
        <x:v>charm</x:v>
      </x:c>
      <x:c r="D534" s="12" t="str">
        <x:v>charm</x:v>
      </x:c>
      <x:c r="E534" s="12" t="str">
        <x:v>apex</x:v>
      </x:c>
      <x:c r="F534" s="12" t="str">
        <x:v>rare</x:v>
      </x:c>
      <x:c r="G534" s="12" t="str">
        <x:v>Red Power Core — Omen</x:v>
      </x:c>
      <x:c r="H534" s="34" t="n">
        <x:v>0</x:v>
      </x:c>
      <x:c r="I534" s="34" t="str">
        <x:v>skill</x:v>
      </x:c>
      <x:c r="J534" s="34" t="str"/>
      <x:c r="K534" s="34" t="str"/>
      <x:c r="L534" s="34" t="str"/>
      <x:c r="M534" s="12" t="str"/>
      <x:c r="N534" s="12" t="str">
        <x:v>Charm, Passive, Survival</x:v>
      </x:c>
      <x:c r="O534" s="12" t="str">
        <x:v>Peek at the next quarry card or weak-point reward. You may mark it; if you do, gain Panic 2.</x:v>
      </x:c>
      <x:c r="P534" s="12" t="str">
        <x:v>Peek at the next quarry AI, hit-location or weak-point reward, depending on screen. You may mark it. If marked, gain Panic 2. If you deal no HP damage, gain +2 break damage.</x:v>
      </x:c>
      <x:c r="Q534" s="12" t="str"/>
      <x:c r="R534" s="12" t="str">
        <x:v>quirk: careful</x:v>
      </x:c>
      <x:c r="S534" s="12" t="str">
        <x:v>073a199cc538</x:v>
      </x:c>
      <x:c r="T534" s="12" t="n">
        <x:f>COUNTIF($S$2:$S$757,S534)</x:f>
        <x:v>1</x:v>
      </x:c>
      <x:c r="U534" s="12" t="str">
        <x:f>IF(T534=1,"OK","DUPLICATE")</x:f>
        <x:v>OK</x:v>
      </x:c>
    </x:row>
    <x:row r="535" ht="39.599998474121094" hidden="0" customHeight="1">
      <x:c r="A535" s="12" t="str">
        <x:v>Red Power Core</x:v>
      </x:c>
      <x:c r="B535" s="12" t="str">
        <x:v>RED POWER CORE</x:v>
      </x:c>
      <x:c r="C535" s="12" t="str">
        <x:v>charm</x:v>
      </x:c>
      <x:c r="D535" s="12" t="str">
        <x:v>charm</x:v>
      </x:c>
      <x:c r="E535" s="12" t="str">
        <x:v>apex</x:v>
      </x:c>
      <x:c r="F535" s="12" t="str">
        <x:v>rare</x:v>
      </x:c>
      <x:c r="G535" s="12" t="str">
        <x:v>Red Power Core — Glimmer</x:v>
      </x:c>
      <x:c r="H535" s="34" t="n">
        <x:v>0</x:v>
      </x:c>
      <x:c r="I535" s="34" t="str">
        <x:v>reaction</x:v>
      </x:c>
      <x:c r="J535" s="34" t="str"/>
      <x:c r="K535" s="34" t="str"/>
      <x:c r="L535" s="34" t="str"/>
      <x:c r="M535" s="12" t="str"/>
      <x:c r="N535" s="12" t="str">
        <x:v>Charm, Passive, Survival</x:v>
      </x:c>
      <x:c r="O535" s="12" t="str">
        <x:v>When Burn or a hunt consequence would affect you, reduce it by 6; exhaust this charm.</x:v>
      </x:c>
      <x:c r="P535" s="12" t="str">
        <x:v>When Burn, Panic, or a hunt consequence would affect this survivor, reduce it by 6; exhaust this charm until the next settlement phase. If you deal no HP damage, gain +2 break damage.</x:v>
      </x:c>
      <x:c r="Q535" s="12" t="str"/>
      <x:c r="R535" s="12" t="str">
        <x:v>quirk: careful</x:v>
      </x:c>
      <x:c r="S535" s="12" t="str">
        <x:v>4a641d61b8e2</x:v>
      </x:c>
      <x:c r="T535" s="12" t="n">
        <x:f>COUNTIF($S$2:$S$757,S535)</x:f>
        <x:v>1</x:v>
      </x:c>
      <x:c r="U535" s="12" t="str">
        <x:f>IF(T535=1,"OK","DUPLICATE")</x:f>
        <x:v>OK</x:v>
      </x:c>
    </x:row>
    <x:row r="536" ht="39.599998474121094" hidden="0" customHeight="1">
      <x:c r="A536" s="12" t="str">
        <x:v>Red Ring</x:v>
      </x:c>
      <x:c r="B536" s="12" t="str">
        <x:v>RED RING</x:v>
      </x:c>
      <x:c r="C536" s="12" t="str">
        <x:v>arms</x:v>
      </x:c>
      <x:c r="D536" s="12" t="str">
        <x:v>charm</x:v>
      </x:c>
      <x:c r="E536" s="12" t="str">
        <x:v>mid</x:v>
      </x:c>
      <x:c r="F536" s="12" t="str">
        <x:v>uncommon</x:v>
      </x:c>
      <x:c r="G536" s="12" t="str">
        <x:v>Red Ring — Omen</x:v>
      </x:c>
      <x:c r="H536" s="34" t="n">
        <x:v>0</x:v>
      </x:c>
      <x:c r="I536" s="34" t="str">
        <x:v>skill</x:v>
      </x:c>
      <x:c r="J536" s="34" t="str"/>
      <x:c r="K536" s="34" t="str"/>
      <x:c r="L536" s="34" t="str"/>
      <x:c r="M536" s="12" t="str"/>
      <x:c r="N536" s="12" t="str">
        <x:v>Charm, Passive, Survival</x:v>
      </x:c>
      <x:c r="O536" s="12" t="str">
        <x:v>Peek at the next quarry card or weak-point reward. You may mark it; if you do, gain Panic 1.</x:v>
      </x:c>
      <x:c r="P536" s="12" t="str">
        <x:v>Peek at the next quarry AI, hit-location or weak-point reward, depending on screen. You may mark it. If marked, gain Panic 1. The quarry targets this survivor next unless another card redirects it.</x:v>
      </x:c>
      <x:c r="Q536" s="12" t="str"/>
      <x:c r="R536" s="12" t="str">
        <x:v>quirk: bait</x:v>
      </x:c>
      <x:c r="S536" s="12" t="str">
        <x:v>236b68f2a9f3</x:v>
      </x:c>
      <x:c r="T536" s="12" t="n">
        <x:f>COUNTIF($S$2:$S$757,S536)</x:f>
        <x:v>1</x:v>
      </x:c>
      <x:c r="U536" s="12" t="str">
        <x:f>IF(T536=1,"OK","DUPLICATE")</x:f>
        <x:v>OK</x:v>
      </x:c>
    </x:row>
    <x:row r="537" ht="39.599998474121094" hidden="0" customHeight="1">
      <x:c r="A537" s="12" t="str">
        <x:v>Red Ring</x:v>
      </x:c>
      <x:c r="B537" s="12" t="str">
        <x:v>RED RING</x:v>
      </x:c>
      <x:c r="C537" s="12" t="str">
        <x:v>arms</x:v>
      </x:c>
      <x:c r="D537" s="12" t="str">
        <x:v>charm</x:v>
      </x:c>
      <x:c r="E537" s="12" t="str">
        <x:v>mid</x:v>
      </x:c>
      <x:c r="F537" s="12" t="str">
        <x:v>uncommon</x:v>
      </x:c>
      <x:c r="G537" s="12" t="str">
        <x:v>Red Ring — Glimmer</x:v>
      </x:c>
      <x:c r="H537" s="34" t="n">
        <x:v>0</x:v>
      </x:c>
      <x:c r="I537" s="34" t="str">
        <x:v>reaction</x:v>
      </x:c>
      <x:c r="J537" s="34" t="str"/>
      <x:c r="K537" s="34" t="str"/>
      <x:c r="L537" s="34" t="str"/>
      <x:c r="M537" s="12" t="str"/>
      <x:c r="N537" s="12" t="str">
        <x:v>Charm, Passive, Survival</x:v>
      </x:c>
      <x:c r="O537" s="12" t="str">
        <x:v>When Snared or a hunt consequence would affect you, reduce it by 2; exhaust this charm.</x:v>
      </x:c>
      <x:c r="P537" s="12" t="str">
        <x:v>When Snared, Panic, or a hunt consequence would affect this survivor, reduce it by 2; exhaust this charm until the next settlement phase. The quarry targets this survivor next unless another card redirects it.</x:v>
      </x:c>
      <x:c r="Q537" s="12" t="str"/>
      <x:c r="R537" s="12" t="str">
        <x:v>quirk: bait</x:v>
      </x:c>
      <x:c r="S537" s="12" t="str">
        <x:v>2181ba30fbdd</x:v>
      </x:c>
      <x:c r="T537" s="12" t="n">
        <x:f>COUNTIF($S$2:$S$757,S537)</x:f>
        <x:v>1</x:v>
      </x:c>
      <x:c r="U537" s="12" t="str">
        <x:f>IF(T537=1,"OK","DUPLICATE")</x:f>
        <x:v>OK</x:v>
      </x:c>
    </x:row>
    <x:row r="538" ht="39.599998474121094" hidden="0" customHeight="1">
      <x:c r="A538" s="12" t="str">
        <x:v>Regeneration Suit</x:v>
      </x:c>
      <x:c r="B538" s="12" t="str">
        <x:v>REGENERATION SUIT</x:v>
      </x:c>
      <x:c r="C538" s="12" t="str">
        <x:v>body</x:v>
      </x:c>
      <x:c r="D538" s="12" t="str">
        <x:v>armor</x:v>
      </x:c>
      <x:c r="E538" s="12" t="str">
        <x:v>mid</x:v>
      </x:c>
      <x:c r="F538" s="12" t="str">
        <x:v>uncommon</x:v>
      </x:c>
      <x:c r="G538" s="12" t="str">
        <x:v>Regeneration Suit — Brace</x:v>
      </x:c>
      <x:c r="H538" s="34" t="n">
        <x:v>1</x:v>
      </x:c>
      <x:c r="I538" s="34" t="str">
        <x:v>skill</x:v>
      </x:c>
      <x:c r="J538" s="34" t="str"/>
      <x:c r="K538" s="34" t="str"/>
      <x:c r="L538" s="34" t="n">
        <x:v>3</x:v>
      </x:c>
      <x:c r="M538" s="12" t="str"/>
      <x:c r="N538" s="12" t="str">
        <x:v>Defensive, Party, WoundCare</x:v>
      </x:c>
      <x:c r="O538" s="12" t="str">
        <x:v>Gain 3 block and Guarded 2. If hit before your next turn, reduce Poison or Panic by 1.</x:v>
      </x:c>
      <x:c r="P538" s="12" t="str">
        <x:v>Gain 3 block and Guarded 2. If the next monster hit lands before your next turn, reduce Poison or Panic by 1 after damage. If you play a third attack this round, gain Panic 1.</x:v>
      </x:c>
      <x:c r="Q538" s="12" t="str"/>
      <x:c r="R538" s="12" t="str">
        <x:v>quirk: frenzyCheck</x:v>
      </x:c>
      <x:c r="S538" s="12" t="str">
        <x:v>2abcd2b032a9</x:v>
      </x:c>
      <x:c r="T538" s="12" t="n">
        <x:f>COUNTIF($S$2:$S$757,S538)</x:f>
        <x:v>1</x:v>
      </x:c>
      <x:c r="U538" s="12" t="str">
        <x:f>IF(T538=1,"OK","DUPLICATE")</x:f>
        <x:v>OK</x:v>
      </x:c>
    </x:row>
    <x:row r="539" ht="26.399999618530273" hidden="0" customHeight="1">
      <x:c r="A539" s="12" t="str">
        <x:v>Regeneration Suit</x:v>
      </x:c>
      <x:c r="B539" s="12" t="str">
        <x:v>REGENERATION SUIT</x:v>
      </x:c>
      <x:c r="C539" s="12" t="str">
        <x:v>body</x:v>
      </x:c>
      <x:c r="D539" s="12" t="str">
        <x:v>armor</x:v>
      </x:c>
      <x:c r="E539" s="12" t="str">
        <x:v>mid</x:v>
      </x:c>
      <x:c r="F539" s="12" t="str">
        <x:v>uncommon</x:v>
      </x:c>
      <x:c r="G539" s="12" t="str">
        <x:v>Regeneration Suit — Fitted Plate</x:v>
      </x:c>
      <x:c r="H539" s="34" t="n">
        <x:v>1</x:v>
      </x:c>
      <x:c r="I539" s="34" t="str">
        <x:v>reaction</x:v>
      </x:c>
      <x:c r="J539" s="34" t="str"/>
      <x:c r="K539" s="34" t="str"/>
      <x:c r="L539" s="34" t="n">
        <x:v>5</x:v>
      </x:c>
      <x:c r="M539" s="12" t="str"/>
      <x:c r="N539" s="12" t="str">
        <x:v>Defensive, Party, WoundCare, Reaction</x:v>
      </x:c>
      <x:c r="O539" s="12" t="str">
        <x:v>After damage is previewed, prevent 5 damage. Then give the next ally Guarded 2.</x:v>
      </x:c>
      <x:c r="P539" s="12" t="str">
        <x:v>After incoming damage is previewed, prevent 5 damage with the body slot. Then the next ally gains Guarded 2. If you play a third attack this round, gain Panic 1.</x:v>
      </x:c>
      <x:c r="Q539" s="12" t="str"/>
      <x:c r="R539" s="12" t="str">
        <x:v>quirk: frenzyCheck</x:v>
      </x:c>
      <x:c r="S539" s="12" t="str">
        <x:v>47890315520d</x:v>
      </x:c>
      <x:c r="T539" s="12" t="n">
        <x:f>COUNTIF($S$2:$S$757,S539)</x:f>
        <x:v>1</x:v>
      </x:c>
      <x:c r="U539" s="12" t="str">
        <x:f>IF(T539=1,"OK","DUPLICATE")</x:f>
        <x:v>OK</x:v>
      </x:c>
    </x:row>
    <x:row r="540" ht="39.599998474121094" hidden="0" customHeight="1">
      <x:c r="A540" s="12" t="str">
        <x:v>Rib Blade</x:v>
      </x:c>
      <x:c r="B540" s="12" t="str">
        <x:v>RIB BLADE</x:v>
      </x:c>
      <x:c r="C540" s="12" t="str">
        <x:v>weapon</x:v>
      </x:c>
      <x:c r="D540" s="12" t="str">
        <x:v>sword</x:v>
      </x:c>
      <x:c r="E540" s="12" t="str">
        <x:v>mid</x:v>
      </x:c>
      <x:c r="F540" s="12" t="str">
        <x:v>uncommon</x:v>
      </x:c>
      <x:c r="G540" s="12" t="str">
        <x:v>Rib Blade — Opening Cut</x:v>
      </x:c>
      <x:c r="H540" s="34" t="n">
        <x:v>1</x:v>
      </x:c>
      <x:c r="I540" s="34" t="str">
        <x:v>attack</x:v>
      </x:c>
      <x:c r="J540" s="34" t="n">
        <x:v>5</x:v>
      </x:c>
      <x:c r="K540" s="34" t="n">
        <x:v>3</x:v>
      </x:c>
      <x:c r="L540" s="34" t="str"/>
      <x:c r="M540" s="12" t="str">
        <x:v>Poison 3 | Target: Gorm</x:v>
      </x:c>
      <x:c r="N540" s="12" t="str">
        <x:v>Precise, Marking, Counter, Attack</x:v>
      </x:c>
      <x:c r="O540" s="12" t="str">
        <x:v>Deal 5 damage. Apply Poison 3 if the target has a Gorm weak point, otherwise gain Marked 1.</x:v>
      </x:c>
      <x:c r="P540" s="12" t="str">
        <x:v>Deal 5 damage with Rib Blade. Apply Poison 3 against a matching Gorm weak point; otherwise apply Marked 1. If this is the only card you play this turn, gain +2 block.</x:v>
      </x:c>
      <x:c r="Q540" s="12" t="str"/>
      <x:c r="R540" s="12" t="str">
        <x:v>quirk: stance</x:v>
      </x:c>
      <x:c r="S540" s="12" t="str">
        <x:v>ce74d91fcd93</x:v>
      </x:c>
      <x:c r="T540" s="12" t="n">
        <x:f>COUNTIF($S$2:$S$757,S540)</x:f>
        <x:v>1</x:v>
      </x:c>
      <x:c r="U540" s="12" t="str">
        <x:f>IF(T540=1,"OK","DUPLICATE")</x:f>
        <x:v>OK</x:v>
      </x:c>
    </x:row>
    <x:row r="541" ht="39.599998474121094" hidden="0" customHeight="1">
      <x:c r="A541" s="12" t="str">
        <x:v>Rib Blade</x:v>
      </x:c>
      <x:c r="B541" s="12" t="str">
        <x:v>RIB BLADE</x:v>
      </x:c>
      <x:c r="C541" s="12" t="str">
        <x:v>weapon</x:v>
      </x:c>
      <x:c r="D541" s="12" t="str">
        <x:v>sword</x:v>
      </x:c>
      <x:c r="E541" s="12" t="str">
        <x:v>mid</x:v>
      </x:c>
      <x:c r="F541" s="12" t="str">
        <x:v>uncommon</x:v>
      </x:c>
      <x:c r="G541" s="12" t="str">
        <x:v>Rib Blade — Technique</x:v>
      </x:c>
      <x:c r="H541" s="34" t="n">
        <x:v>2</x:v>
      </x:c>
      <x:c r="I541" s="34" t="str">
        <x:v>skill</x:v>
      </x:c>
      <x:c r="J541" s="34" t="str"/>
      <x:c r="K541" s="34" t="str"/>
      <x:c r="L541" s="34" t="n">
        <x:v>4</x:v>
      </x:c>
      <x:c r="M541" s="12" t="str">
        <x:v>Opens: True</x:v>
      </x:c>
      <x:c r="N541" s="12" t="str">
        <x:v>Precise, Marking, Counter, Setup</x:v>
      </x:c>
      <x:c r="O541" s="12" t="str">
        <x:v>Set a parry line; your next Counter with this equipment costs 0 if it is the first Counter this battle. Also gain 4 block.</x:v>
      </x:c>
      <x:c r="P541" s="12" t="str">
        <x:v>Set a parry line; your next Counter with this equipment costs 0 if it is the first Counter this battle. Gain 4 block. If this is the only card you play this turn, gain +2 block.</x:v>
      </x:c>
      <x:c r="Q541" s="12" t="str">
        <x:v>YES</x:v>
      </x:c>
      <x:c r="R541" s="12" t="str">
        <x:v>quirk: stance</x:v>
      </x:c>
      <x:c r="S541" s="12" t="str">
        <x:v>d03e048f7b73</x:v>
      </x:c>
      <x:c r="T541" s="12" t="n">
        <x:f>COUNTIF($S$2:$S$757,S541)</x:f>
        <x:v>1</x:v>
      </x:c>
      <x:c r="U541" s="12" t="str">
        <x:f>IF(T541=1,"OK","DUPLICATE")</x:f>
        <x:v>OK</x:v>
      </x:c>
    </x:row>
    <x:row r="542" ht="26.399999618530273" hidden="0" customHeight="1">
      <x:c r="A542" s="12" t="str">
        <x:v>Rib Blade</x:v>
      </x:c>
      <x:c r="B542" s="12" t="str">
        <x:v>RIB BLADE</x:v>
      </x:c>
      <x:c r="C542" s="12" t="str">
        <x:v>weapon</x:v>
      </x:c>
      <x:c r="D542" s="12" t="str">
        <x:v>sword</x:v>
      </x:c>
      <x:c r="E542" s="12" t="str">
        <x:v>mid</x:v>
      </x:c>
      <x:c r="F542" s="12" t="str">
        <x:v>uncommon</x:v>
      </x:c>
      <x:c r="G542" s="12" t="str">
        <x:v>Rib Blade — Payoff</x:v>
      </x:c>
      <x:c r="H542" s="34" t="n">
        <x:v>2</x:v>
      </x:c>
      <x:c r="I542" s="34" t="str">
        <x:v>reaction</x:v>
      </x:c>
      <x:c r="J542" s="34" t="n">
        <x:v>7</x:v>
      </x:c>
      <x:c r="K542" s="34" t="n">
        <x:v>4</x:v>
      </x:c>
      <x:c r="L542" s="34" t="str"/>
      <x:c r="M542" s="12" t="str">
        <x:v>Poison 2</x:v>
      </x:c>
      <x:c r="N542" s="12" t="str">
        <x:v>Precise, Marking, Counter, Payoff, WeakPoint</x:v>
      </x:c>
      <x:c r="O542" s="12" t="str">
        <x:v>Deal 7 damage and 4 break damage. If this breaks a weak point, resolve Poison 2 and the stance rider.</x:v>
      </x:c>
      <x:c r="P542" s="12" t="str">
        <x:v>Deal 7 damage and 4 break damage. If the weak point breaks, apply Poison 2 and resolve: If this is the only card you play this turn, gain +2 block.</x:v>
      </x:c>
      <x:c r="Q542" s="12" t="str">
        <x:v>YES</x:v>
      </x:c>
      <x:c r="R542" s="12" t="str">
        <x:v>quirk: stance | countsAsCounter True, firstCounterFree True</x:v>
      </x:c>
      <x:c r="S542" s="12" t="str">
        <x:v>c364d6a77000</x:v>
      </x:c>
      <x:c r="T542" s="12" t="n">
        <x:f>COUNTIF($S$2:$S$757,S542)</x:f>
        <x:v>1</x:v>
      </x:c>
      <x:c r="U542" s="12" t="str">
        <x:f>IF(T542=1,"OK","DUPLICATE")</x:f>
        <x:v>OK</x:v>
      </x:c>
    </x:row>
    <x:row r="543" ht="39.599998474121094" hidden="0" customHeight="1">
      <x:c r="A543" s="12" t="str">
        <x:v>Ring Whip</x:v>
      </x:c>
      <x:c r="B543" s="12" t="str">
        <x:v>RING WHIP</x:v>
      </x:c>
      <x:c r="C543" s="12" t="str">
        <x:v>weapon</x:v>
      </x:c>
      <x:c r="D543" s="12" t="str">
        <x:v>whip</x:v>
      </x:c>
      <x:c r="E543" s="12" t="str">
        <x:v>early</x:v>
      </x:c>
      <x:c r="F543" s="12" t="str">
        <x:v>uncommon</x:v>
      </x:c>
      <x:c r="G543" s="12" t="str">
        <x:v>Ring Whip — Opening Strike</x:v>
      </x:c>
      <x:c r="H543" s="34" t="n">
        <x:v>1</x:v>
      </x:c>
      <x:c r="I543" s="34" t="str">
        <x:v>attack</x:v>
      </x:c>
      <x:c r="J543" s="34" t="n">
        <x:v>2</x:v>
      </x:c>
      <x:c r="K543" s="34" t="n">
        <x:v>1</x:v>
      </x:c>
      <x:c r="L543" s="34" t="str"/>
      <x:c r="M543" s="12" t="str">
        <x:v>Bleed 1 | Target: Settlement</x:v>
      </x:c>
      <x:c r="N543" s="12" t="str">
        <x:v>Reach, Marking, WeakPoint, Attack</x:v>
      </x:c>
      <x:c r="O543" s="12" t="str">
        <x:v>Deal 2 damage. Apply Bleed 1 if the target has a Settlement weak point, otherwise gain Marked 1.</x:v>
      </x:c>
      <x:c r="P543" s="12" t="str">
        <x:v>Deal 2 damage with Ring Whip. Apply Bleed 1 against a matching Settlement weak point; otherwise apply Marked 1. If played after blocking, your next Counter gains +2 damage.</x:v>
      </x:c>
      <x:c r="Q543" s="12" t="str"/>
      <x:c r="R543" s="12" t="str">
        <x:v>quirk: counterReady</x:v>
      </x:c>
      <x:c r="S543" s="12" t="str">
        <x:v>10b979fe869f</x:v>
      </x:c>
      <x:c r="T543" s="12" t="n">
        <x:f>COUNTIF($S$2:$S$757,S543)</x:f>
        <x:v>1</x:v>
      </x:c>
      <x:c r="U543" s="12" t="str">
        <x:f>IF(T543=1,"OK","DUPLICATE")</x:f>
        <x:v>OK</x:v>
      </x:c>
    </x:row>
    <x:row r="544" ht="26.399999618530273" hidden="0" customHeight="1">
      <x:c r="A544" s="12" t="str">
        <x:v>Ring Whip</x:v>
      </x:c>
      <x:c r="B544" s="12" t="str">
        <x:v>RING WHIP</x:v>
      </x:c>
      <x:c r="C544" s="12" t="str">
        <x:v>weapon</x:v>
      </x:c>
      <x:c r="D544" s="12" t="str">
        <x:v>whip</x:v>
      </x:c>
      <x:c r="E544" s="12" t="str">
        <x:v>early</x:v>
      </x:c>
      <x:c r="F544" s="12" t="str">
        <x:v>uncommon</x:v>
      </x:c>
      <x:c r="G544" s="12" t="str">
        <x:v>Ring Whip — Technique</x:v>
      </x:c>
      <x:c r="H544" s="34" t="n">
        <x:v>1</x:v>
      </x:c>
      <x:c r="I544" s="34" t="str">
        <x:v>skill</x:v>
      </x:c>
      <x:c r="J544" s="34" t="str"/>
      <x:c r="K544" s="34" t="str"/>
      <x:c r="L544" s="34" t="n">
        <x:v>1</x:v>
      </x:c>
      <x:c r="M544" s="12" t="str">
        <x:v>Opens: True</x:v>
      </x:c>
      <x:c r="N544" s="12" t="str">
        <x:v>Reach, Marking, WeakPoint, Setup</x:v>
      </x:c>
      <x:c r="O544" s="12" t="str">
        <x:v>Hook a limb; apply Snared 2, then Open a limb weak point if present. Also gain 1 block.</x:v>
      </x:c>
      <x:c r="P544" s="12" t="str">
        <x:v>Hook a limb; apply Snared 2, then Open a limb weak point if present. Gain 1 block. If played after blocking, your next Counter gains +2 damage.</x:v>
      </x:c>
      <x:c r="Q544" s="12" t="str"/>
      <x:c r="R544" s="12" t="str">
        <x:v>quirk: counterReady</x:v>
      </x:c>
      <x:c r="S544" s="12" t="str">
        <x:v>29298fa66f7f</x:v>
      </x:c>
      <x:c r="T544" s="12" t="n">
        <x:f>COUNTIF($S$2:$S$757,S544)</x:f>
        <x:v>1</x:v>
      </x:c>
      <x:c r="U544" s="12" t="str">
        <x:f>IF(T544=1,"OK","DUPLICATE")</x:f>
        <x:v>OK</x:v>
      </x:c>
    </x:row>
    <x:row r="545" ht="52.79999923706055" hidden="0" customHeight="1">
      <x:c r="A545" s="12" t="str">
        <x:v>Ring Whip</x:v>
      </x:c>
      <x:c r="B545" s="12" t="str">
        <x:v>RING WHIP</x:v>
      </x:c>
      <x:c r="C545" s="12" t="str">
        <x:v>weapon</x:v>
      </x:c>
      <x:c r="D545" s="12" t="str">
        <x:v>whip</x:v>
      </x:c>
      <x:c r="E545" s="12" t="str">
        <x:v>early</x:v>
      </x:c>
      <x:c r="F545" s="12" t="str">
        <x:v>uncommon</x:v>
      </x:c>
      <x:c r="G545" s="12" t="str">
        <x:v>Ring Whip — Payoff</x:v>
      </x:c>
      <x:c r="H545" s="34" t="n">
        <x:v>2</x:v>
      </x:c>
      <x:c r="I545" s="34" t="str">
        <x:v>attack</x:v>
      </x:c>
      <x:c r="J545" s="34" t="n">
        <x:v>6</x:v>
      </x:c>
      <x:c r="K545" s="34" t="n">
        <x:v>2</x:v>
      </x:c>
      <x:c r="L545" s="34" t="str"/>
      <x:c r="M545" s="12" t="str">
        <x:v>Bleed 1</x:v>
      </x:c>
      <x:c r="N545" s="12" t="str">
        <x:v>Reach, Marking, WeakPoint, Payoff</x:v>
      </x:c>
      <x:c r="O545" s="12" t="str">
        <x:v>Deal 6 damage and 2 break damage. If this breaks a weak point, resolve Bleed 1 and the counterReady rider; If the quarry is Marked, add +1 to one listed value.</x:v>
      </x:c>
      <x:c r="P545" s="12" t="str">
        <x:v>Deal 6 damage and 2 break damage. If the weak point breaks, apply Bleed 1 and resolve: If played after blocking, your next Counter gains +2 damage. If the quarry is Marked, add +1 to one listed value.</x:v>
      </x:c>
      <x:c r="Q545" s="12" t="str"/>
      <x:c r="R545" s="12" t="str">
        <x:v>quirk: counterReady+markedPressure | {"countsAsCounter": false, "firstCounterFree": false} | visibleUnique:markedPressure</x:v>
      </x:c>
      <x:c r="S545" s="12" t="str">
        <x:v>9a2823c777c5</x:v>
      </x:c>
      <x:c r="T545" s="12" t="n">
        <x:f>COUNTIF($S$2:$S$757,S545)</x:f>
        <x:v>1</x:v>
      </x:c>
      <x:c r="U545" s="12" t="str">
        <x:f>IF(T545=1,"OK","DUPLICATE")</x:f>
        <x:v>OK</x:v>
      </x:c>
    </x:row>
    <x:row r="546" ht="26.399999618530273" hidden="0" customHeight="1">
      <x:c r="A546" s="12" t="str">
        <x:v>Riot Mace</x:v>
      </x:c>
      <x:c r="B546" s="12" t="str">
        <x:v>RIOT MACE</x:v>
      </x:c>
      <x:c r="C546" s="12" t="str">
        <x:v>weapon</x:v>
      </x:c>
      <x:c r="D546" s="12" t="str">
        <x:v>hammer</x:v>
      </x:c>
      <x:c r="E546" s="12" t="str">
        <x:v>mid</x:v>
      </x:c>
      <x:c r="F546" s="12" t="str">
        <x:v>uncommon</x:v>
      </x:c>
      <x:c r="G546" s="12" t="str">
        <x:v>Riot Mace — Opening Strike</x:v>
      </x:c>
      <x:c r="H546" s="34" t="n">
        <x:v>1</x:v>
      </x:c>
      <x:c r="I546" s="34" t="str">
        <x:v>attack</x:v>
      </x:c>
      <x:c r="J546" s="34" t="n">
        <x:v>5</x:v>
      </x:c>
      <x:c r="K546" s="34" t="n">
        <x:v>4</x:v>
      </x:c>
      <x:c r="L546" s="34" t="str"/>
      <x:c r="M546" s="12" t="str">
        <x:v>Poison 2 | Target: Gorm</x:v>
      </x:c>
      <x:c r="N546" s="12" t="str">
        <x:v>Heavy, Guardbreaker, WeakPoint, Attack</x:v>
      </x:c>
      <x:c r="O546" s="12" t="str">
        <x:v>Deal 5 damage. Apply Poison 2 if the target has a Gorm weak point, otherwise gain Marked 1.</x:v>
      </x:c>
      <x:c r="P546" s="12" t="str">
        <x:v>Deal 5 damage with Riot Mace. Apply Poison 2 against a matching Gorm weak point; otherwise apply Marked 1. If you play a third attack this round, gain Panic 1.</x:v>
      </x:c>
      <x:c r="Q546" s="12" t="str"/>
      <x:c r="R546" s="12" t="str">
        <x:v>quirk: frenzyCheck</x:v>
      </x:c>
      <x:c r="S546" s="12" t="str">
        <x:v>4d0f7725d844</x:v>
      </x:c>
      <x:c r="T546" s="12" t="n">
        <x:f>COUNTIF($S$2:$S$757,S546)</x:f>
        <x:v>1</x:v>
      </x:c>
      <x:c r="U546" s="12" t="str">
        <x:f>IF(T546=1,"OK","DUPLICATE")</x:f>
        <x:v>OK</x:v>
      </x:c>
    </x:row>
    <x:row r="547" ht="26.399999618530273" hidden="0" customHeight="1">
      <x:c r="A547" s="12" t="str">
        <x:v>Riot Mace</x:v>
      </x:c>
      <x:c r="B547" s="12" t="str">
        <x:v>RIOT MACE</x:v>
      </x:c>
      <x:c r="C547" s="12" t="str">
        <x:v>weapon</x:v>
      </x:c>
      <x:c r="D547" s="12" t="str">
        <x:v>hammer</x:v>
      </x:c>
      <x:c r="E547" s="12" t="str">
        <x:v>mid</x:v>
      </x:c>
      <x:c r="F547" s="12" t="str">
        <x:v>uncommon</x:v>
      </x:c>
      <x:c r="G547" s="12" t="str">
        <x:v>Riot Mace — Technique</x:v>
      </x:c>
      <x:c r="H547" s="34" t="n">
        <x:v>2</x:v>
      </x:c>
      <x:c r="I547" s="34" t="str">
        <x:v>skill</x:v>
      </x:c>
      <x:c r="J547" s="34" t="str"/>
      <x:c r="K547" s="34" t="str"/>
      <x:c r="L547" s="34" t="n">
        <x:v>3</x:v>
      </x:c>
      <x:c r="M547" s="12" t="str">
        <x:v>Opens: True</x:v>
      </x:c>
      <x:c r="N547" s="12" t="str">
        <x:v>Heavy, Guardbreaker, WeakPoint, Setup</x:v>
      </x:c>
      <x:c r="O547" s="12" t="str">
        <x:v>Crack shell or bone; apply Exposed 1 and reduce the next block gained by the quarry by 2. Also gain 3 block.</x:v>
      </x:c>
      <x:c r="P547" s="12" t="str">
        <x:v>Crack shell or bone; apply Exposed 1 and reduce the next block gained by the quarry by 2. Gain 3 block. If you play a third attack this round, gain Panic 1.</x:v>
      </x:c>
      <x:c r="Q547" s="12" t="str"/>
      <x:c r="R547" s="12" t="str">
        <x:v>quirk: frenzyCheck</x:v>
      </x:c>
      <x:c r="S547" s="12" t="str">
        <x:v>be1c9862e7d7</x:v>
      </x:c>
      <x:c r="T547" s="12" t="n">
        <x:f>COUNTIF($S$2:$S$757,S547)</x:f>
        <x:v>1</x:v>
      </x:c>
      <x:c r="U547" s="12" t="str">
        <x:f>IF(T547=1,"OK","DUPLICATE")</x:f>
        <x:v>OK</x:v>
      </x:c>
    </x:row>
    <x:row r="548" ht="26.399999618530273" hidden="0" customHeight="1">
      <x:c r="A548" s="12" t="str">
        <x:v>Riot Mace</x:v>
      </x:c>
      <x:c r="B548" s="12" t="str">
        <x:v>RIOT MACE</x:v>
      </x:c>
      <x:c r="C548" s="12" t="str">
        <x:v>weapon</x:v>
      </x:c>
      <x:c r="D548" s="12" t="str">
        <x:v>hammer</x:v>
      </x:c>
      <x:c r="E548" s="12" t="str">
        <x:v>mid</x:v>
      </x:c>
      <x:c r="F548" s="12" t="str">
        <x:v>uncommon</x:v>
      </x:c>
      <x:c r="G548" s="12" t="str">
        <x:v>Riot Mace — Payoff</x:v>
      </x:c>
      <x:c r="H548" s="34" t="n">
        <x:v>2</x:v>
      </x:c>
      <x:c r="I548" s="34" t="str">
        <x:v>attack</x:v>
      </x:c>
      <x:c r="J548" s="34" t="n">
        <x:v>9</x:v>
      </x:c>
      <x:c r="K548" s="34" t="n">
        <x:v>5</x:v>
      </x:c>
      <x:c r="L548" s="34" t="str"/>
      <x:c r="M548" s="12" t="str">
        <x:v>Poison 1</x:v>
      </x:c>
      <x:c r="N548" s="12" t="str">
        <x:v>Heavy, Guardbreaker, WeakPoint, Payoff</x:v>
      </x:c>
      <x:c r="O548" s="12" t="str">
        <x:v>Deal 9 damage and 5 break damage. If this breaks a weak point, resolve Poison 1 and the frenzyCheck rider.</x:v>
      </x:c>
      <x:c r="P548" s="12" t="str">
        <x:v>Deal 9 damage and 5 break damage. If the weak point breaks, apply Poison 1 and resolve: If you play a third attack this round, gain Panic 1.</x:v>
      </x:c>
      <x:c r="Q548" s="12" t="str"/>
      <x:c r="R548" s="12" t="str">
        <x:v>quirk: frenzyCheck | countsAsCounter False, firstCounterFree False</x:v>
      </x:c>
      <x:c r="S548" s="12" t="str">
        <x:v>611089a14cd3</x:v>
      </x:c>
      <x:c r="T548" s="12" t="n">
        <x:f>COUNTIF($S$2:$S$757,S548)</x:f>
        <x:v>1</x:v>
      </x:c>
      <x:c r="U548" s="12" t="str">
        <x:f>IF(T548=1,"OK","DUPLICATE")</x:f>
        <x:v>OK</x:v>
      </x:c>
    </x:row>
    <x:row r="549" ht="39.599998474121094" hidden="0" customHeight="1">
      <x:c r="A549" s="12" t="str">
        <x:v>Rolling Armor Set</x:v>
      </x:c>
      <x:c r="B549" s="12" t="str">
        <x:v>ROLLING ARMOR SET</x:v>
      </x:c>
      <x:c r="C549" s="12" t="str">
        <x:v>set</x:v>
      </x:c>
      <x:c r="D549" s="12" t="str">
        <x:v>armor</x:v>
      </x:c>
      <x:c r="E549" s="12" t="str">
        <x:v>mid</x:v>
      </x:c>
      <x:c r="F549" s="12" t="str">
        <x:v>uncommon</x:v>
      </x:c>
      <x:c r="G549" s="12" t="str">
        <x:v>Rolling Armor Set — Brace</x:v>
      </x:c>
      <x:c r="H549" s="34" t="n">
        <x:v>1</x:v>
      </x:c>
      <x:c r="I549" s="34" t="str">
        <x:v>skill</x:v>
      </x:c>
      <x:c r="J549" s="34" t="str"/>
      <x:c r="K549" s="34" t="str"/>
      <x:c r="L549" s="34" t="n">
        <x:v>4</x:v>
      </x:c>
      <x:c r="M549" s="12" t="str"/>
      <x:c r="N549" s="12" t="str">
        <x:v>Defensive, Party, WoundCare</x:v>
      </x:c>
      <x:c r="O549" s="12" t="str">
        <x:v>gain 4 block and Guarded 3. If hit before your next turn, reduce Shock or Panic by 1.</x:v>
      </x:c>
      <x:c r="P549" s="12" t="str">
        <x:v>gain 4 block and Guarded 3. If the next monster hit lands before your next turn, reduce Shock or Panic by 1 after damage. If this would drop you to 0 HP, resolve the card first, then die if still at 0 HP.</x:v>
      </x:c>
      <x:c r="Q549" s="12" t="str"/>
      <x:c r="R549" s="12" t="str">
        <x:v>quirk: lastLight</x:v>
      </x:c>
      <x:c r="S549" s="12" t="str">
        <x:v>9975d0d1f52c</x:v>
      </x:c>
      <x:c r="T549" s="12" t="n">
        <x:f>COUNTIF($S$2:$S$757,S549)</x:f>
        <x:v>1</x:v>
      </x:c>
      <x:c r="U549" s="12" t="str">
        <x:f>IF(T549=1,"OK","DUPLICATE")</x:f>
        <x:v>OK</x:v>
      </x:c>
    </x:row>
    <x:row r="550" ht="39.599998474121094" hidden="0" customHeight="1">
      <x:c r="A550" s="12" t="str">
        <x:v>Rolling Armor Set</x:v>
      </x:c>
      <x:c r="B550" s="12" t="str">
        <x:v>ROLLING ARMOR SET</x:v>
      </x:c>
      <x:c r="C550" s="12" t="str">
        <x:v>set</x:v>
      </x:c>
      <x:c r="D550" s="12" t="str">
        <x:v>armor</x:v>
      </x:c>
      <x:c r="E550" s="12" t="str">
        <x:v>mid</x:v>
      </x:c>
      <x:c r="F550" s="12" t="str">
        <x:v>uncommon</x:v>
      </x:c>
      <x:c r="G550" s="12" t="str">
        <x:v>Rolling Armor Set — Setline</x:v>
      </x:c>
      <x:c r="H550" s="34" t="n">
        <x:v>1</x:v>
      </x:c>
      <x:c r="I550" s="34" t="str">
        <x:v>reaction</x:v>
      </x:c>
      <x:c r="J550" s="34" t="str"/>
      <x:c r="K550" s="34" t="str"/>
      <x:c r="L550" s="34" t="n">
        <x:v>6</x:v>
      </x:c>
      <x:c r="M550" s="12" t="str"/>
      <x:c r="N550" s="12" t="str">
        <x:v>Defensive, Party, WoundCare, Reaction</x:v>
      </x:c>
      <x:c r="O550" s="12" t="str">
        <x:v>After damage is previewed, prevent 6 damage. Then give the next ally Guarded 2.</x:v>
      </x:c>
      <x:c r="P550" s="12" t="str">
        <x:v>After incoming damage is previewed, prevent 6 damage with the set slot. Then the next ally gains Guarded 2. If this would drop you to 0 HP, resolve the card first, then die if still at 0 HP.</x:v>
      </x:c>
      <x:c r="Q550" s="12" t="str"/>
      <x:c r="R550" s="12" t="str">
        <x:v>quirk: lastLight</x:v>
      </x:c>
      <x:c r="S550" s="12" t="str">
        <x:v>791b68dfc4b7</x:v>
      </x:c>
      <x:c r="T550" s="12" t="n">
        <x:f>COUNTIF($S$2:$S$757,S550)</x:f>
        <x:v>1</x:v>
      </x:c>
      <x:c r="U550" s="12" t="str">
        <x:f>IF(T550=1,"OK","DUPLICATE")</x:f>
        <x:v>OK</x:v>
      </x:c>
    </x:row>
    <x:row r="551" ht="39.599998474121094" hidden="0" customHeight="1">
      <x:c r="A551" s="12" t="str">
        <x:v>Rose Knight Badge</x:v>
      </x:c>
      <x:c r="B551" s="12" t="str">
        <x:v>ROSE KNIGHT BADGE</x:v>
      </x:c>
      <x:c r="C551" s="12" t="str">
        <x:v>charm</x:v>
      </x:c>
      <x:c r="D551" s="12" t="str">
        <x:v>charm</x:v>
      </x:c>
      <x:c r="E551" s="12" t="str">
        <x:v>mid</x:v>
      </x:c>
      <x:c r="F551" s="12" t="str">
        <x:v>uncommon</x:v>
      </x:c>
      <x:c r="G551" s="12" t="str">
        <x:v>Rose Knight Badge — Omen</x:v>
      </x:c>
      <x:c r="H551" s="34" t="n">
        <x:v>0</x:v>
      </x:c>
      <x:c r="I551" s="34" t="str">
        <x:v>skill</x:v>
      </x:c>
      <x:c r="J551" s="34" t="str"/>
      <x:c r="K551" s="34" t="str"/>
      <x:c r="L551" s="34" t="str"/>
      <x:c r="M551" s="12" t="str"/>
      <x:c r="N551" s="12" t="str">
        <x:v>Charm, Passive, Survival</x:v>
      </x:c>
      <x:c r="O551" s="12" t="str">
        <x:v>Peek at the next quarry card or weak-point reward. You may mark it; if you do, gain Panic 1; If the quarry is Marked, draw 1 then discard 1.</x:v>
      </x:c>
      <x:c r="P551" s="12" t="str">
        <x:v>Peek at the next quarry AI, hit-location or weak-point reward, depending on screen. You may mark it. If marked, gain Panic 1. If the quarry is Marked, draw 1 then discard 1. If the quarry is Marked, draw 1 then discard 1.</x:v>
      </x:c>
      <x:c r="Q551" s="12" t="str"/>
      <x:c r="R551" s="12" t="str">
        <x:v>quirk: marked+markedFocus | uniqueRider:markedFocus</x:v>
      </x:c>
      <x:c r="S551" s="12" t="str">
        <x:v>2fb262b2b47e</x:v>
      </x:c>
      <x:c r="T551" s="12" t="n">
        <x:f>COUNTIF($S$2:$S$757,S551)</x:f>
        <x:v>1</x:v>
      </x:c>
      <x:c r="U551" s="12" t="str">
        <x:f>IF(T551=1,"OK","DUPLICATE")</x:f>
        <x:v>OK</x:v>
      </x:c>
    </x:row>
    <x:row r="552" ht="39.599998474121094" hidden="0" customHeight="1">
      <x:c r="A552" s="12" t="str">
        <x:v>Rose Knight Badge</x:v>
      </x:c>
      <x:c r="B552" s="12" t="str">
        <x:v>ROSE KNIGHT BADGE</x:v>
      </x:c>
      <x:c r="C552" s="12" t="str">
        <x:v>charm</x:v>
      </x:c>
      <x:c r="D552" s="12" t="str">
        <x:v>charm</x:v>
      </x:c>
      <x:c r="E552" s="12" t="str">
        <x:v>mid</x:v>
      </x:c>
      <x:c r="F552" s="12" t="str">
        <x:v>uncommon</x:v>
      </x:c>
      <x:c r="G552" s="12" t="str">
        <x:v>Rose Knight Badge — Glimmer</x:v>
      </x:c>
      <x:c r="H552" s="34" t="n">
        <x:v>0</x:v>
      </x:c>
      <x:c r="I552" s="34" t="str">
        <x:v>reaction</x:v>
      </x:c>
      <x:c r="J552" s="34" t="str"/>
      <x:c r="K552" s="34" t="str"/>
      <x:c r="L552" s="34" t="str"/>
      <x:c r="M552" s="12" t="str"/>
      <x:c r="N552" s="12" t="str">
        <x:v>Charm, Passive, Survival</x:v>
      </x:c>
      <x:c r="O552" s="12" t="str">
        <x:v>When Snared or a hunt consequence would affect you, reduce it by 2; exhaust this charm.</x:v>
      </x:c>
      <x:c r="P552" s="12" t="str">
        <x:v>When Snared, Panic, or a hunt consequence would affect this survivor, reduce it by 2; exhaust this charm until the next settlement phase. If the quarry is Marked, draw 1 then discard 1.</x:v>
      </x:c>
      <x:c r="Q552" s="12" t="str"/>
      <x:c r="R552" s="12" t="str">
        <x:v>quirk: marked</x:v>
      </x:c>
      <x:c r="S552" s="12" t="str">
        <x:v>1d11eaee5b5f</x:v>
      </x:c>
      <x:c r="T552" s="12" t="n">
        <x:f>COUNTIF($S$2:$S$757,S552)</x:f>
        <x:v>1</x:v>
      </x:c>
      <x:c r="U552" s="12" t="str">
        <x:f>IF(T552=1,"OK","DUPLICATE")</x:f>
        <x:v>OK</x:v>
      </x:c>
    </x:row>
    <x:row r="553" ht="26.399999618530273" hidden="0" customHeight="1">
      <x:c r="A553" s="12" t="str">
        <x:v>Round Hide Guard</x:v>
      </x:c>
      <x:c r="B553" s="12" t="str">
        <x:v>ROUND LEATHER SHIELD</x:v>
      </x:c>
      <x:c r="C553" s="12" t="str">
        <x:v>offhand</x:v>
      </x:c>
      <x:c r="D553" s="12" t="str">
        <x:v>shield</x:v>
      </x:c>
      <x:c r="E553" s="12" t="str">
        <x:v>early</x:v>
      </x:c>
      <x:c r="F553" s="12" t="str">
        <x:v>common</x:v>
      </x:c>
      <x:c r="G553" s="12" t="str">
        <x:v>Round Hide Guard — Shield Wall</x:v>
      </x:c>
      <x:c r="H553" s="34" t="n">
        <x:v>1</x:v>
      </x:c>
      <x:c r="I553" s="34" t="str">
        <x:v>skill</x:v>
      </x:c>
      <x:c r="J553" s="34" t="str"/>
      <x:c r="K553" s="34" t="str"/>
      <x:c r="L553" s="34" t="n">
        <x:v>5</x:v>
      </x:c>
      <x:c r="M553" s="12" t="str"/>
      <x:c r="N553" s="12" t="str">
        <x:v>Defensive, Counter, Party</x:v>
      </x:c>
      <x:c r="O553" s="12" t="str">
        <x:v>Gain 5 block and give chosen ally Guarded 1. The first Counter from this equipment this battle costs 0.</x:v>
      </x:c>
      <x:c r="P553" s="12" t="str">
        <x:v>Gain 5 block and give chosen ally Guarded 1. Set firstCounterReady for this equipment if unused. On a failed harvest, keep one common fallback material.</x:v>
      </x:c>
      <x:c r="Q553" s="12" t="str"/>
      <x:c r="R553" s="12" t="str">
        <x:v>quirk: salvage | grantsFirstCounterFree True</x:v>
      </x:c>
      <x:c r="S553" s="12" t="str">
        <x:v>610172f0af13</x:v>
      </x:c>
      <x:c r="T553" s="12" t="n">
        <x:f>COUNTIF($S$2:$S$757,S553)</x:f>
        <x:v>1</x:v>
      </x:c>
      <x:c r="U553" s="12" t="str">
        <x:f>IF(T553=1,"OK","DUPLICATE")</x:f>
        <x:v>OK</x:v>
      </x:c>
    </x:row>
    <x:row r="554" ht="39.599998474121094" hidden="0" customHeight="1">
      <x:c r="A554" s="12" t="str">
        <x:v>Round Hide Guard</x:v>
      </x:c>
      <x:c r="B554" s="12" t="str">
        <x:v>ROUND LEATHER SHIELD</x:v>
      </x:c>
      <x:c r="C554" s="12" t="str">
        <x:v>offhand</x:v>
      </x:c>
      <x:c r="D554" s="12" t="str">
        <x:v>shield</x:v>
      </x:c>
      <x:c r="E554" s="12" t="str">
        <x:v>early</x:v>
      </x:c>
      <x:c r="F554" s="12" t="str">
        <x:v>common</x:v>
      </x:c>
      <x:c r="G554" s="12" t="str">
        <x:v>Round Hide Guard — Answering Bash</x:v>
      </x:c>
      <x:c r="H554" s="34" t="n">
        <x:v>1</x:v>
      </x:c>
      <x:c r="I554" s="34" t="str">
        <x:v>reaction</x:v>
      </x:c>
      <x:c r="J554" s="34" t="n">
        <x:v>3</x:v>
      </x:c>
      <x:c r="K554" s="34" t="str"/>
      <x:c r="L554" s="34" t="n">
        <x:v>0</x:v>
      </x:c>
      <x:c r="M554" s="12" t="str"/>
      <x:c r="N554" s="12" t="str">
        <x:v>Defensive, Counter, Party</x:v>
      </x:c>
      <x:c r="O554" s="12" t="str">
        <x:v>Counter for 3 damage after blocking. Costs 0 if it is this equipment’s first Counter of the battle.</x:v>
      </x:c>
      <x:c r="P554" s="12" t="str">
        <x:v>After this survivor blocks or prevents damage, Counter for 3 damage. If firstCounterUsed[roundHideGuard] is false this battle, pay 0 and then set it true. On a failed harvest, keep one common fallback material.</x:v>
      </x:c>
      <x:c r="Q554" s="12" t="str">
        <x:v>YES</x:v>
      </x:c>
      <x:c r="R554" s="12" t="str">
        <x:v>quirk: salvage | countsAsCounter True, firstCounterFree True, counterFreeScope perBattlePerEquipment</x:v>
      </x:c>
      <x:c r="S554" s="12" t="str">
        <x:v>4ff758645ade</x:v>
      </x:c>
      <x:c r="T554" s="12" t="n">
        <x:f>COUNTIF($S$2:$S$757,S554)</x:f>
        <x:v>1</x:v>
      </x:c>
      <x:c r="U554" s="12" t="str">
        <x:f>IF(T554=1,"OK","DUPLICATE")</x:f>
        <x:v>OK</x:v>
      </x:c>
    </x:row>
    <x:row r="555" ht="39.599998474121094" hidden="0" customHeight="1">
      <x:c r="A555" s="12" t="str">
        <x:v>Rubber Bone Harness</x:v>
      </x:c>
      <x:c r="B555" s="12" t="str">
        <x:v>RUBBER BONE HARNESS</x:v>
      </x:c>
      <x:c r="C555" s="12" t="str">
        <x:v>body</x:v>
      </x:c>
      <x:c r="D555" s="12" t="str">
        <x:v>armor</x:v>
      </x:c>
      <x:c r="E555" s="12" t="str">
        <x:v>mid</x:v>
      </x:c>
      <x:c r="F555" s="12" t="str">
        <x:v>uncommon</x:v>
      </x:c>
      <x:c r="G555" s="12" t="str">
        <x:v>Rubber Bone Harness — Brace</x:v>
      </x:c>
      <x:c r="H555" s="34" t="n">
        <x:v>1</x:v>
      </x:c>
      <x:c r="I555" s="34" t="str">
        <x:v>skill</x:v>
      </x:c>
      <x:c r="J555" s="34" t="str"/>
      <x:c r="K555" s="34" t="str"/>
      <x:c r="L555" s="34" t="n">
        <x:v>6</x:v>
      </x:c>
      <x:c r="M555" s="12" t="str"/>
      <x:c r="N555" s="12" t="str">
        <x:v>Defensive, Party, WoundCare</x:v>
      </x:c>
      <x:c r="O555" s="12" t="str">
        <x:v>Gain 6 block and Guarded 3. If hit before your next turn, reduce Shock or Panic by 1.</x:v>
      </x:c>
      <x:c r="P555" s="12" t="str">
        <x:v>Gain 6 block and Guarded 3. If the next monster hit lands before your next turn, reduce Shock or Panic by 1 after damage. If the quarry is below half HP, add +1 break damage.</x:v>
      </x:c>
      <x:c r="Q555" s="12" t="str"/>
      <x:c r="R555" s="12" t="str">
        <x:v>quirk: bloodied</x:v>
      </x:c>
      <x:c r="S555" s="12" t="str">
        <x:v>abf9d452f9c0</x:v>
      </x:c>
      <x:c r="T555" s="12" t="n">
        <x:f>COUNTIF($S$2:$S$757,S555)</x:f>
        <x:v>1</x:v>
      </x:c>
      <x:c r="U555" s="12" t="str">
        <x:f>IF(T555=1,"OK","DUPLICATE")</x:f>
        <x:v>OK</x:v>
      </x:c>
    </x:row>
    <x:row r="556" ht="26.399999618530273" hidden="0" customHeight="1">
      <x:c r="A556" s="12" t="str">
        <x:v>Rubber Bone Harness</x:v>
      </x:c>
      <x:c r="B556" s="12" t="str">
        <x:v>RUBBER BONE HARNESS</x:v>
      </x:c>
      <x:c r="C556" s="12" t="str">
        <x:v>body</x:v>
      </x:c>
      <x:c r="D556" s="12" t="str">
        <x:v>armor</x:v>
      </x:c>
      <x:c r="E556" s="12" t="str">
        <x:v>mid</x:v>
      </x:c>
      <x:c r="F556" s="12" t="str">
        <x:v>uncommon</x:v>
      </x:c>
      <x:c r="G556" s="12" t="str">
        <x:v>Rubber Bone Harness — Fitted Plate</x:v>
      </x:c>
      <x:c r="H556" s="34" t="n">
        <x:v>2</x:v>
      </x:c>
      <x:c r="I556" s="34" t="str">
        <x:v>reaction</x:v>
      </x:c>
      <x:c r="J556" s="34" t="str"/>
      <x:c r="K556" s="34" t="str"/>
      <x:c r="L556" s="34" t="n">
        <x:v>9</x:v>
      </x:c>
      <x:c r="M556" s="12" t="str"/>
      <x:c r="N556" s="12" t="str">
        <x:v>Defensive, Party, WoundCare, Reaction</x:v>
      </x:c>
      <x:c r="O556" s="12" t="str">
        <x:v>After damage is previewed, prevent 9 damage. Then give the next ally Guarded 2.</x:v>
      </x:c>
      <x:c r="P556" s="12" t="str">
        <x:v>After incoming damage is previewed, prevent 9 damage with the body slot. Then the next ally gains Guarded 2. If the quarry is below half HP, add +1 break damage.</x:v>
      </x:c>
      <x:c r="Q556" s="12" t="str"/>
      <x:c r="R556" s="12" t="str">
        <x:v>quirk: bloodied</x:v>
      </x:c>
      <x:c r="S556" s="12" t="str">
        <x:v>313bf106e4ce</x:v>
      </x:c>
      <x:c r="T556" s="12" t="n">
        <x:f>COUNTIF($S$2:$S$757,S556)</x:f>
        <x:v>1</x:v>
      </x:c>
      <x:c r="U556" s="12" t="str">
        <x:f>IF(T556=1,"OK","DUPLICATE")</x:f>
        <x:v>OK</x:v>
      </x:c>
    </x:row>
    <x:row r="557" ht="39.599998474121094" hidden="0" customHeight="1">
      <x:c r="A557" s="12" t="str">
        <x:v>Sanguine Cello</x:v>
      </x:c>
      <x:c r="B557" s="12" t="str">
        <x:v>SANGUINE CELLO</x:v>
      </x:c>
      <x:c r="C557" s="12" t="str">
        <x:v>tool</x:v>
      </x:c>
      <x:c r="D557" s="12" t="str">
        <x:v>instrument</x:v>
      </x:c>
      <x:c r="E557" s="12" t="str">
        <x:v>mid</x:v>
      </x:c>
      <x:c r="F557" s="12" t="str">
        <x:v>uncommon</x:v>
      </x:c>
      <x:c r="G557" s="12" t="str">
        <x:v>Sanguine Cello — Resonance</x:v>
      </x:c>
      <x:c r="H557" s="34" t="n">
        <x:v>1</x:v>
      </x:c>
      <x:c r="I557" s="34" t="str">
        <x:v>support</x:v>
      </x:c>
      <x:c r="J557" s="34" t="str"/>
      <x:c r="K557" s="34" t="str"/>
      <x:c r="L557" s="34" t="n">
        <x:v>3</x:v>
      </x:c>
      <x:c r="M557" s="12" t="str"/>
      <x:c r="N557" s="12" t="str">
        <x:v>Support, Party, Panic</x:v>
      </x:c>
      <x:c r="O557" s="12" t="str">
        <x:v>Chosen ally gains 3 block and Prepared 2. Gain Panic 1.</x:v>
      </x:c>
      <x:c r="P557" s="12" t="str">
        <x:v>Chosen ally gains 3 block and Prepared 2. If the phase is wrong for this item, also gain Panic 1. If used on a hunt node, also mark one gathered resource as confirmed.</x:v>
      </x:c>
      <x:c r="Q557" s="12" t="str"/>
      <x:c r="R557" s="12" t="str">
        <x:v>quirk: retreat</x:v>
      </x:c>
      <x:c r="S557" s="12" t="str">
        <x:v>6de5c770f81b</x:v>
      </x:c>
      <x:c r="T557" s="12" t="n">
        <x:f>COUNTIF($S$2:$S$757,S557)</x:f>
        <x:v>1</x:v>
      </x:c>
      <x:c r="U557" s="12" t="str">
        <x:f>IF(T557=1,"OK","DUPLICATE")</x:f>
        <x:v>OK</x:v>
      </x:c>
    </x:row>
    <x:row r="558" ht="39.599998474121094" hidden="0" customHeight="1">
      <x:c r="A558" s="12" t="str">
        <x:v>Sanguine Cello</x:v>
      </x:c>
      <x:c r="B558" s="12" t="str">
        <x:v>SANGUINE CELLO</x:v>
      </x:c>
      <x:c r="C558" s="12" t="str">
        <x:v>tool</x:v>
      </x:c>
      <x:c r="D558" s="12" t="str">
        <x:v>instrument</x:v>
      </x:c>
      <x:c r="E558" s="12" t="str">
        <x:v>mid</x:v>
      </x:c>
      <x:c r="F558" s="12" t="str">
        <x:v>uncommon</x:v>
      </x:c>
      <x:c r="G558" s="12" t="str">
        <x:v>Sanguine Cello — Echo</x:v>
      </x:c>
      <x:c r="H558" s="34" t="n">
        <x:v>1</x:v>
      </x:c>
      <x:c r="I558" s="34" t="str">
        <x:v>reaction</x:v>
      </x:c>
      <x:c r="J558" s="34" t="str"/>
      <x:c r="K558" s="34" t="str"/>
      <x:c r="L558" s="34" t="str"/>
      <x:c r="M558" s="12" t="str"/>
      <x:c r="N558" s="12" t="str">
        <x:v>Support, Party, Panic</x:v>
      </x:c>
      <x:c r="O558" s="12" t="str">
        <x:v>After an ally breaks a weak point, give the next ally Guarded 2 or clear Panic 2.</x:v>
      </x:c>
      <x:c r="P558" s="12" t="str">
        <x:v>After an ally breaks a weak point or survives a hunt event, choose: next ally gains Guarded 2, or clear Panic 2. If used on a hunt node, also mark one gathered resource as confirmed.</x:v>
      </x:c>
      <x:c r="Q558" s="12" t="str"/>
      <x:c r="R558" s="12" t="str">
        <x:v>quirk: retreat</x:v>
      </x:c>
      <x:c r="S558" s="12" t="str">
        <x:v>8dcd700c37ff</x:v>
      </x:c>
      <x:c r="T558" s="12" t="n">
        <x:f>COUNTIF($S$2:$S$757,S558)</x:f>
        <x:v>1</x:v>
      </x:c>
      <x:c r="U558" s="12" t="str">
        <x:f>IF(T558=1,"OK","DUPLICATE")</x:f>
        <x:v>OK</x:v>
      </x:c>
    </x:row>
    <x:row r="559" ht="39.599998474121094" hidden="0" customHeight="1">
      <x:c r="A559" s="12" t="str">
        <x:v>Sanguine Épee</x:v>
      </x:c>
      <x:c r="B559" s="12" t="str">
        <x:v>SANGUINE ÉPEE</x:v>
      </x:c>
      <x:c r="C559" s="12" t="str">
        <x:v>tool</x:v>
      </x:c>
      <x:c r="D559" s="12" t="str">
        <x:v>tool</x:v>
      </x:c>
      <x:c r="E559" s="12" t="str">
        <x:v>mid</x:v>
      </x:c>
      <x:c r="F559" s="12" t="str">
        <x:v>uncommon</x:v>
      </x:c>
      <x:c r="G559" s="12" t="str">
        <x:v>Sanguine Épee — Use</x:v>
      </x:c>
      <x:c r="H559" s="34" t="n">
        <x:v>1</x:v>
      </x:c>
      <x:c r="I559" s="34" t="str">
        <x:v>skill</x:v>
      </x:c>
      <x:c r="J559" s="34" t="str"/>
      <x:c r="K559" s="34" t="str"/>
      <x:c r="L559" s="34" t="str"/>
      <x:c r="M559" s="12" t="str">
        <x:v>Exposed 2</x:v>
      </x:c>
      <x:c r="N559" s="12" t="str">
        <x:v>Tool, Harvest, Retreat</x:v>
      </x:c>
      <x:c r="O559" s="12" t="str">
        <x:v>Gain +3 to the next harvest, retreat, or weak-point test. If it fails, apply Exposed 2 to the quarry or clear it from a survivor.</x:v>
      </x:c>
      <x:c r="P559" s="12" t="str">
        <x:v>Gain +3 to the next harvest, retreat, or weak-point test linked to Blood Crafter. On failure, either apply Exposed 2 to the quarry or clear that status from a survivor. If a tell is Open, add +2 to the listed damage or block value.</x:v>
      </x:c>
      <x:c r="Q559" s="12" t="str"/>
      <x:c r="R559" s="12" t="str">
        <x:v>quirk: openTell</x:v>
      </x:c>
      <x:c r="S559" s="12" t="str">
        <x:v>c4d13563794b</x:v>
      </x:c>
      <x:c r="T559" s="12" t="n">
        <x:f>COUNTIF($S$2:$S$757,S559)</x:f>
        <x:v>1</x:v>
      </x:c>
      <x:c r="U559" s="12" t="str">
        <x:f>IF(T559=1,"OK","DUPLICATE")</x:f>
        <x:v>OK</x:v>
      </x:c>
    </x:row>
    <x:row r="560" ht="39.599998474121094" hidden="0" customHeight="1">
      <x:c r="A560" s="12" t="str">
        <x:v>Sanguine Épee</x:v>
      </x:c>
      <x:c r="B560" s="12" t="str">
        <x:v>SANGUINE ÉPEE</x:v>
      </x:c>
      <x:c r="C560" s="12" t="str">
        <x:v>tool</x:v>
      </x:c>
      <x:c r="D560" s="12" t="str">
        <x:v>tool</x:v>
      </x:c>
      <x:c r="E560" s="12" t="str">
        <x:v>mid</x:v>
      </x:c>
      <x:c r="F560" s="12" t="str">
        <x:v>uncommon</x:v>
      </x:c>
      <x:c r="G560" s="12" t="str">
        <x:v>Sanguine Épee — Contingency</x:v>
      </x:c>
      <x:c r="H560" s="34" t="n">
        <x:v>1</x:v>
      </x:c>
      <x:c r="I560" s="34" t="str">
        <x:v>reaction</x:v>
      </x:c>
      <x:c r="J560" s="34" t="str"/>
      <x:c r="K560" s="34" t="str"/>
      <x:c r="L560" s="34" t="str"/>
      <x:c r="M560" s="12" t="str"/>
      <x:c r="N560" s="12" t="str">
        <x:v>Tool, Harvest, Retreat</x:v>
      </x:c>
      <x:c r="O560" s="12" t="str">
        <x:v>When a hunt or monster consequence is previewed, reduce it by 3; on retreat, preserve 2 gathered resource.</x:v>
      </x:c>
      <x:c r="P560" s="12" t="str">
        <x:v>When a hunt event, retreat roll, or monster consequence is previewed, reduce the penalty by 3. If retreating, preserve 2 gathered resource. If a tell is Open, add +2 to the listed damage or block value.</x:v>
      </x:c>
      <x:c r="Q560" s="12" t="str"/>
      <x:c r="R560" s="12" t="str">
        <x:v>quirk: openTell</x:v>
      </x:c>
      <x:c r="S560" s="12" t="str">
        <x:v>bfc6f27c6f3a</x:v>
      </x:c>
      <x:c r="T560" s="12" t="n">
        <x:f>COUNTIF($S$2:$S$757,S560)</x:f>
        <x:v>1</x:v>
      </x:c>
      <x:c r="U560" s="12" t="str">
        <x:f>IF(T560=1,"OK","DUPLICATE")</x:f>
        <x:v>OK</x:v>
      </x:c>
    </x:row>
    <x:row r="561" ht="39.599998474121094" hidden="0" customHeight="1">
      <x:c r="A561" s="12" t="str">
        <x:v>Satchel</x:v>
      </x:c>
      <x:c r="B561" s="12" t="str">
        <x:v>SATCHEL</x:v>
      </x:c>
      <x:c r="C561" s="12" t="str">
        <x:v>tool</x:v>
      </x:c>
      <x:c r="D561" s="12" t="str">
        <x:v>tool</x:v>
      </x:c>
      <x:c r="E561" s="12" t="str">
        <x:v>mid</x:v>
      </x:c>
      <x:c r="F561" s="12" t="str">
        <x:v>uncommon</x:v>
      </x:c>
      <x:c r="G561" s="12" t="str">
        <x:v>Satchel — Use</x:v>
      </x:c>
      <x:c r="H561" s="34" t="n">
        <x:v>1</x:v>
      </x:c>
      <x:c r="I561" s="34" t="str">
        <x:v>skill</x:v>
      </x:c>
      <x:c r="J561" s="34" t="str"/>
      <x:c r="K561" s="34" t="str"/>
      <x:c r="L561" s="34" t="str"/>
      <x:c r="M561" s="12" t="str">
        <x:v>Marked 3</x:v>
      </x:c>
      <x:c r="N561" s="12" t="str">
        <x:v>Tool, Harvest, Retreat</x:v>
      </x:c>
      <x:c r="O561" s="12" t="str">
        <x:v>Gain +4 to the next harvest, retreat, or weak-point test. If it fails, apply Marked 3 to the quarry or clear it from a survivor.</x:v>
      </x:c>
      <x:c r="P561" s="12" t="str">
        <x:v>Gain +4 to the next harvest, retreat, or weak-point test linked to Sense Memory. On failure, either apply Marked 3 to the quarry or clear that status from a survivor. After use, Exhaust this equipment until the next monster turn.</x:v>
      </x:c>
      <x:c r="Q561" s="12" t="str"/>
      <x:c r="R561" s="12" t="str">
        <x:v>quirk: exhaust</x:v>
      </x:c>
      <x:c r="S561" s="12" t="str">
        <x:v>5fc527969b1a</x:v>
      </x:c>
      <x:c r="T561" s="12" t="n">
        <x:f>COUNTIF($S$2:$S$757,S561)</x:f>
        <x:v>1</x:v>
      </x:c>
      <x:c r="U561" s="12" t="str">
        <x:f>IF(T561=1,"OK","DUPLICATE")</x:f>
        <x:v>OK</x:v>
      </x:c>
    </x:row>
    <x:row r="562" ht="39.599998474121094" hidden="0" customHeight="1">
      <x:c r="A562" s="12" t="str">
        <x:v>Satchel</x:v>
      </x:c>
      <x:c r="B562" s="12" t="str">
        <x:v>SATCHEL</x:v>
      </x:c>
      <x:c r="C562" s="12" t="str">
        <x:v>tool</x:v>
      </x:c>
      <x:c r="D562" s="12" t="str">
        <x:v>tool</x:v>
      </x:c>
      <x:c r="E562" s="12" t="str">
        <x:v>mid</x:v>
      </x:c>
      <x:c r="F562" s="12" t="str">
        <x:v>uncommon</x:v>
      </x:c>
      <x:c r="G562" s="12" t="str">
        <x:v>Satchel — Contingency</x:v>
      </x:c>
      <x:c r="H562" s="34" t="n">
        <x:v>1</x:v>
      </x:c>
      <x:c r="I562" s="34" t="str">
        <x:v>reaction</x:v>
      </x:c>
      <x:c r="J562" s="34" t="str"/>
      <x:c r="K562" s="34" t="str"/>
      <x:c r="L562" s="34" t="str"/>
      <x:c r="M562" s="12" t="str"/>
      <x:c r="N562" s="12" t="str">
        <x:v>Tool, Harvest, Retreat</x:v>
      </x:c>
      <x:c r="O562" s="12" t="str">
        <x:v>When a hunt or monster consequence is previewed, reduce it by 5; on retreat, preserve 1 gathered resource.</x:v>
      </x:c>
      <x:c r="P562" s="12" t="str">
        <x:v>When a hunt event, retreat roll, or monster consequence is previewed, reduce the penalty by 5. If retreating, preserve 1 gathered resource. After use, Exhaust this equipment until the next monster turn.</x:v>
      </x:c>
      <x:c r="Q562" s="12" t="str"/>
      <x:c r="R562" s="12" t="str">
        <x:v>quirk: exhaust</x:v>
      </x:c>
      <x:c r="S562" s="12" t="str">
        <x:v>785c90ed0b86</x:v>
      </x:c>
      <x:c r="T562" s="12" t="n">
        <x:f>COUNTIF($S$2:$S$757,S562)</x:f>
        <x:v>1</x:v>
      </x:c>
      <x:c r="U562" s="12" t="str">
        <x:f>IF(T562=1,"OK","DUPLICATE")</x:f>
        <x:v>OK</x:v>
      </x:c>
    </x:row>
    <x:row r="563" ht="39.599998474121094" hidden="0" customHeight="1">
      <x:c r="A563" s="12" t="str">
        <x:v>Scarab Circlet</x:v>
      </x:c>
      <x:c r="B563" s="12" t="str">
        <x:v>SCARAB CIRCLET</x:v>
      </x:c>
      <x:c r="C563" s="12" t="str">
        <x:v>charm</x:v>
      </x:c>
      <x:c r="D563" s="12" t="str">
        <x:v>charm</x:v>
      </x:c>
      <x:c r="E563" s="12" t="str">
        <x:v>mid</x:v>
      </x:c>
      <x:c r="F563" s="12" t="str">
        <x:v>uncommon</x:v>
      </x:c>
      <x:c r="G563" s="12" t="str">
        <x:v>Scarab Circlet — Omen</x:v>
      </x:c>
      <x:c r="H563" s="34" t="n">
        <x:v>0</x:v>
      </x:c>
      <x:c r="I563" s="34" t="str">
        <x:v>skill</x:v>
      </x:c>
      <x:c r="J563" s="34" t="str"/>
      <x:c r="K563" s="34" t="str"/>
      <x:c r="L563" s="34" t="str"/>
      <x:c r="M563" s="12" t="str"/>
      <x:c r="N563" s="12" t="str">
        <x:v>Charm, Passive, Survival</x:v>
      </x:c>
      <x:c r="O563" s="12" t="str">
        <x:v>Peek at the next quarry card or weak-point reward. You may mark it; if you do, gain Panic 1.</x:v>
      </x:c>
      <x:c r="P563" s="12" t="str">
        <x:v>Peek at the next quarry AI, hit-location or weak-point reward, depending on screen. You may mark it. If marked, gain Panic 1. If used on a hunt node, also mark one gathered resource as confirmed.</x:v>
      </x:c>
      <x:c r="Q563" s="12" t="str"/>
      <x:c r="R563" s="12" t="str">
        <x:v>quirk: retreat</x:v>
      </x:c>
      <x:c r="S563" s="12" t="str">
        <x:v>ea060d3abd8e</x:v>
      </x:c>
      <x:c r="T563" s="12" t="n">
        <x:f>COUNTIF($S$2:$S$757,S563)</x:f>
        <x:v>1</x:v>
      </x:c>
      <x:c r="U563" s="12" t="str">
        <x:f>IF(T563=1,"OK","DUPLICATE")</x:f>
        <x:v>OK</x:v>
      </x:c>
    </x:row>
    <x:row r="564" ht="39.599998474121094" hidden="0" customHeight="1">
      <x:c r="A564" s="12" t="str">
        <x:v>Scarab Circlet</x:v>
      </x:c>
      <x:c r="B564" s="12" t="str">
        <x:v>SCARAB CIRCLET</x:v>
      </x:c>
      <x:c r="C564" s="12" t="str">
        <x:v>charm</x:v>
      </x:c>
      <x:c r="D564" s="12" t="str">
        <x:v>charm</x:v>
      </x:c>
      <x:c r="E564" s="12" t="str">
        <x:v>mid</x:v>
      </x:c>
      <x:c r="F564" s="12" t="str">
        <x:v>uncommon</x:v>
      </x:c>
      <x:c r="G564" s="12" t="str">
        <x:v>Scarab Circlet — Glimmer</x:v>
      </x:c>
      <x:c r="H564" s="34" t="n">
        <x:v>0</x:v>
      </x:c>
      <x:c r="I564" s="34" t="str">
        <x:v>reaction</x:v>
      </x:c>
      <x:c r="J564" s="34" t="str"/>
      <x:c r="K564" s="34" t="str"/>
      <x:c r="L564" s="34" t="str"/>
      <x:c r="M564" s="12" t="str"/>
      <x:c r="N564" s="12" t="str">
        <x:v>Charm, Passive, Survival</x:v>
      </x:c>
      <x:c r="O564" s="12" t="str">
        <x:v>When Shock or a hunt consequence would affect you, reduce it by 2; exhaust this charm.</x:v>
      </x:c>
      <x:c r="P564" s="12" t="str">
        <x:v>When Shock, Panic, or a hunt consequence would affect this survivor, reduce it by 2; exhaust this charm until the next settlement phase. If used on a hunt node, also mark one gathered resource as confirmed.</x:v>
      </x:c>
      <x:c r="Q564" s="12" t="str"/>
      <x:c r="R564" s="12" t="str">
        <x:v>quirk: retreat</x:v>
      </x:c>
      <x:c r="S564" s="12" t="str">
        <x:v>123ffb1a15ba</x:v>
      </x:c>
      <x:c r="T564" s="12" t="n">
        <x:f>COUNTIF($S$2:$S$757,S564)</x:f>
        <x:v>1</x:v>
      </x:c>
      <x:c r="U564" s="12" t="str">
        <x:f>IF(T564=1,"OK","DUPLICATE")</x:f>
        <x:v>OK</x:v>
      </x:c>
    </x:row>
    <x:row r="565" ht="26.399999618530273" hidden="0" customHeight="1">
      <x:c r="A565" s="12" t="str">
        <x:v>Scavenger Kit</x:v>
      </x:c>
      <x:c r="B565" s="12" t="str">
        <x:v>SCAVENGER KIT</x:v>
      </x:c>
      <x:c r="C565" s="12" t="str">
        <x:v>tool</x:v>
      </x:c>
      <x:c r="D565" s="12" t="str">
        <x:v>bandage</x:v>
      </x:c>
      <x:c r="E565" s="12" t="str">
        <x:v>mid</x:v>
      </x:c>
      <x:c r="F565" s="12" t="str">
        <x:v>uncommon</x:v>
      </x:c>
      <x:c r="G565" s="12" t="str">
        <x:v>Scavenger Kit — Resonance</x:v>
      </x:c>
      <x:c r="H565" s="34" t="n">
        <x:v>1</x:v>
      </x:c>
      <x:c r="I565" s="34" t="str">
        <x:v>support</x:v>
      </x:c>
      <x:c r="J565" s="34" t="str"/>
      <x:c r="K565" s="34" t="str"/>
      <x:c r="L565" s="34" t="n">
        <x:v>3</x:v>
      </x:c>
      <x:c r="M565" s="12" t="str"/>
      <x:c r="N565" s="12" t="str">
        <x:v>WoundCare, Support, Party</x:v>
      </x:c>
      <x:c r="O565" s="12" t="str">
        <x:v>Chosen ally gains 3 block and Prepared 3. No Panic if used before the monster acts.</x:v>
      </x:c>
      <x:c r="P565" s="12" t="str">
        <x:v>Chosen ally gains 3 block and Prepared 3. If the phase is wrong for this item, also gain Panic 1. If this is the only card you play this turn, gain +2 block.</x:v>
      </x:c>
      <x:c r="Q565" s="12" t="str"/>
      <x:c r="R565" s="12" t="str">
        <x:v>quirk: stance</x:v>
      </x:c>
      <x:c r="S565" s="12" t="str">
        <x:v>997d9b60570c</x:v>
      </x:c>
      <x:c r="T565" s="12" t="n">
        <x:f>COUNTIF($S$2:$S$757,S565)</x:f>
        <x:v>1</x:v>
      </x:c>
      <x:c r="U565" s="12" t="str">
        <x:f>IF(T565=1,"OK","DUPLICATE")</x:f>
        <x:v>OK</x:v>
      </x:c>
    </x:row>
    <x:row r="566" ht="26.399999618530273" hidden="0" customHeight="1">
      <x:c r="A566" s="12" t="str">
        <x:v>Scavenger Kit</x:v>
      </x:c>
      <x:c r="B566" s="12" t="str">
        <x:v>SCAVENGER KIT</x:v>
      </x:c>
      <x:c r="C566" s="12" t="str">
        <x:v>tool</x:v>
      </x:c>
      <x:c r="D566" s="12" t="str">
        <x:v>bandage</x:v>
      </x:c>
      <x:c r="E566" s="12" t="str">
        <x:v>mid</x:v>
      </x:c>
      <x:c r="F566" s="12" t="str">
        <x:v>uncommon</x:v>
      </x:c>
      <x:c r="G566" s="12" t="str">
        <x:v>Scavenger Kit — Echo</x:v>
      </x:c>
      <x:c r="H566" s="34" t="n">
        <x:v>1</x:v>
      </x:c>
      <x:c r="I566" s="34" t="str">
        <x:v>reaction</x:v>
      </x:c>
      <x:c r="J566" s="34" t="str"/>
      <x:c r="K566" s="34" t="str"/>
      <x:c r="L566" s="34" t="str"/>
      <x:c r="M566" s="12" t="str"/>
      <x:c r="N566" s="12" t="str">
        <x:v>WoundCare, Support, Party</x:v>
      </x:c>
      <x:c r="O566" s="12" t="str">
        <x:v>After an ally breaks a weak point, give the next ally Guarded 2 or clear Panic 3.</x:v>
      </x:c>
      <x:c r="P566" s="12" t="str">
        <x:v>After an ally breaks a weak point or survives a hunt event, choose: next ally gains Guarded 2, or clear Panic 3. If this is the only card you play this turn, gain +2 block.</x:v>
      </x:c>
      <x:c r="Q566" s="12" t="str"/>
      <x:c r="R566" s="12" t="str">
        <x:v>quirk: stance</x:v>
      </x:c>
      <x:c r="S566" s="12" t="str">
        <x:v>803f765fbdde</x:v>
      </x:c>
      <x:c r="T566" s="12" t="n">
        <x:f>COUNTIF($S$2:$S$757,S566)</x:f>
        <x:v>1</x:v>
      </x:c>
      <x:c r="U566" s="12" t="str">
        <x:f>IF(T566=1,"OK","DUPLICATE")</x:f>
        <x:v>OK</x:v>
      </x:c>
    </x:row>
    <x:row r="567" ht="39.599998474121094" hidden="0" customHeight="1">
      <x:c r="A567" s="12" t="str">
        <x:v>Scoopy Club</x:v>
      </x:c>
      <x:c r="B567" s="12" t="str">
        <x:v>SCOOPY CLUB</x:v>
      </x:c>
      <x:c r="C567" s="12" t="str">
        <x:v>weapon</x:v>
      </x:c>
      <x:c r="D567" s="12" t="str">
        <x:v>club</x:v>
      </x:c>
      <x:c r="E567" s="12" t="str">
        <x:v>early</x:v>
      </x:c>
      <x:c r="F567" s="12" t="str">
        <x:v>uncommon</x:v>
      </x:c>
      <x:c r="G567" s="12" t="str">
        <x:v>Scoopy Club — Opening Strike</x:v>
      </x:c>
      <x:c r="H567" s="34" t="n">
        <x:v>1</x:v>
      </x:c>
      <x:c r="I567" s="34" t="str">
        <x:v>attack</x:v>
      </x:c>
      <x:c r="J567" s="34" t="n">
        <x:v>4</x:v>
      </x:c>
      <x:c r="K567" s="34" t="n">
        <x:v>4</x:v>
      </x:c>
      <x:c r="L567" s="34" t="str"/>
      <x:c r="M567" s="12" t="str">
        <x:v>Poison 3 | Target: Promo/Anywhere</x:v>
      </x:c>
      <x:c r="N567" s="12" t="str">
        <x:v>Heavy, Counter, Guardbreaker, Attack</x:v>
      </x:c>
      <x:c r="O567" s="12" t="str">
        <x:v>Deal 4 damage. Apply Poison 3 if the target has a Promo/Anywhere weak point, otherwise gain Marked 1.</x:v>
      </x:c>
      <x:c r="P567" s="12" t="str">
        <x:v>Deal 4 damage with Scoopy Club. Apply Poison 3 against a matching Promo/Anywhere weak point; otherwise apply Marked 1. If you have any wound, add +1 damage but gain Panic 1.</x:v>
      </x:c>
      <x:c r="Q567" s="12" t="str"/>
      <x:c r="R567" s="12" t="str">
        <x:v>quirk: wounded</x:v>
      </x:c>
      <x:c r="S567" s="12" t="str">
        <x:v>d37dd66bf7b7</x:v>
      </x:c>
      <x:c r="T567" s="12" t="n">
        <x:f>COUNTIF($S$2:$S$757,S567)</x:f>
        <x:v>1</x:v>
      </x:c>
      <x:c r="U567" s="12" t="str">
        <x:f>IF(T567=1,"OK","DUPLICATE")</x:f>
        <x:v>OK</x:v>
      </x:c>
    </x:row>
    <x:row r="568" ht="26.399999618530273" hidden="0" customHeight="1">
      <x:c r="A568" s="12" t="str">
        <x:v>Scoopy Club</x:v>
      </x:c>
      <x:c r="B568" s="12" t="str">
        <x:v>SCOOPY CLUB</x:v>
      </x:c>
      <x:c r="C568" s="12" t="str">
        <x:v>weapon</x:v>
      </x:c>
      <x:c r="D568" s="12" t="str">
        <x:v>club</x:v>
      </x:c>
      <x:c r="E568" s="12" t="str">
        <x:v>early</x:v>
      </x:c>
      <x:c r="F568" s="12" t="str">
        <x:v>uncommon</x:v>
      </x:c>
      <x:c r="G568" s="12" t="str">
        <x:v>Scoopy Club — Technique</x:v>
      </x:c>
      <x:c r="H568" s="34" t="n">
        <x:v>2</x:v>
      </x:c>
      <x:c r="I568" s="34" t="str">
        <x:v>skill</x:v>
      </x:c>
      <x:c r="J568" s="34" t="str"/>
      <x:c r="K568" s="34" t="str"/>
      <x:c r="L568" s="34" t="n">
        <x:v>3</x:v>
      </x:c>
      <x:c r="M568" s="12" t="str">
        <x:v>Opens: True</x:v>
      </x:c>
      <x:c r="N568" s="12" t="str">
        <x:v>Heavy, Counter, Guardbreaker, Setup</x:v>
      </x:c>
      <x:c r="O568" s="12" t="str">
        <x:v>Rattle the quarry; apply Stagger 2 and gain Guarded 1. Also gain 3 block.</x:v>
      </x:c>
      <x:c r="P568" s="12" t="str">
        <x:v>Rattle the quarry; apply Stagger 2 and gain Guarded 1. Gain 3 block. If you have any wound, add +1 damage but gain Panic 1.</x:v>
      </x:c>
      <x:c r="Q568" s="12" t="str">
        <x:v>YES</x:v>
      </x:c>
      <x:c r="R568" s="12" t="str">
        <x:v>quirk: wounded</x:v>
      </x:c>
      <x:c r="S568" s="12" t="str">
        <x:v>4cb8dfe04736</x:v>
      </x:c>
      <x:c r="T568" s="12" t="n">
        <x:f>COUNTIF($S$2:$S$757,S568)</x:f>
        <x:v>1</x:v>
      </x:c>
      <x:c r="U568" s="12" t="str">
        <x:f>IF(T568=1,"OK","DUPLICATE")</x:f>
        <x:v>OK</x:v>
      </x:c>
    </x:row>
    <x:row r="569" ht="26.399999618530273" hidden="0" customHeight="1">
      <x:c r="A569" s="12" t="str">
        <x:v>Scoopy Club</x:v>
      </x:c>
      <x:c r="B569" s="12" t="str">
        <x:v>SCOOPY CLUB</x:v>
      </x:c>
      <x:c r="C569" s="12" t="str">
        <x:v>weapon</x:v>
      </x:c>
      <x:c r="D569" s="12" t="str">
        <x:v>club</x:v>
      </x:c>
      <x:c r="E569" s="12" t="str">
        <x:v>early</x:v>
      </x:c>
      <x:c r="F569" s="12" t="str">
        <x:v>uncommon</x:v>
      </x:c>
      <x:c r="G569" s="12" t="str">
        <x:v>Scoopy Club — Payoff</x:v>
      </x:c>
      <x:c r="H569" s="34" t="n">
        <x:v>2</x:v>
      </x:c>
      <x:c r="I569" s="34" t="str">
        <x:v>reaction</x:v>
      </x:c>
      <x:c r="J569" s="34" t="n">
        <x:v>6</x:v>
      </x:c>
      <x:c r="K569" s="34" t="n">
        <x:v>5</x:v>
      </x:c>
      <x:c r="L569" s="34" t="str"/>
      <x:c r="M569" s="12" t="str">
        <x:v>Poison 2</x:v>
      </x:c>
      <x:c r="N569" s="12" t="str">
        <x:v>Heavy, Counter, Guardbreaker, Payoff, WeakPoint</x:v>
      </x:c>
      <x:c r="O569" s="12" t="str">
        <x:v>Deal 6 damage and 5 break damage. If this breaks a weak point, resolve Poison 2 and the wounded rider.</x:v>
      </x:c>
      <x:c r="P569" s="12" t="str">
        <x:v>Deal 6 damage and 5 break damage. If the weak point breaks, apply Poison 2 and resolve: If you have any wound, add +1 damage but gain Panic 1.</x:v>
      </x:c>
      <x:c r="Q569" s="12" t="str">
        <x:v>YES</x:v>
      </x:c>
      <x:c r="R569" s="12" t="str">
        <x:v>quirk: wounded | countsAsCounter True, firstCounterFree True</x:v>
      </x:c>
      <x:c r="S569" s="12" t="str">
        <x:v>43d93bbaeb87</x:v>
      </x:c>
      <x:c r="T569" s="12" t="n">
        <x:f>COUNTIF($S$2:$S$757,S569)</x:f>
        <x:v>1</x:v>
      </x:c>
      <x:c r="U569" s="12" t="str">
        <x:f>IF(T569=1,"OK","DUPLICATE")</x:f>
        <x:v>OK</x:v>
      </x:c>
    </x:row>
    <x:row r="570" ht="39.599998474121094" hidden="0" customHeight="1">
      <x:c r="A570" s="12" t="str">
        <x:v>Scrap Knife</x:v>
      </x:c>
      <x:c r="B570" s="12" t="str">
        <x:v>SCRAP DAGGER</x:v>
      </x:c>
      <x:c r="C570" s="12" t="str">
        <x:v>weapon</x:v>
      </x:c>
      <x:c r="D570" s="12" t="str">
        <x:v>dagger</x:v>
      </x:c>
      <x:c r="E570" s="12" t="str">
        <x:v>early</x:v>
      </x:c>
      <x:c r="F570" s="12" t="str">
        <x:v>uncommon</x:v>
      </x:c>
      <x:c r="G570" s="12" t="str">
        <x:v>Scrap Knife — Opening Cut</x:v>
      </x:c>
      <x:c r="H570" s="34" t="n">
        <x:v>0</x:v>
      </x:c>
      <x:c r="I570" s="34" t="str">
        <x:v>attack</x:v>
      </x:c>
      <x:c r="J570" s="34" t="n">
        <x:v>2</x:v>
      </x:c>
      <x:c r="K570" s="34" t="n">
        <x:v>0</x:v>
      </x:c>
      <x:c r="L570" s="34" t="str"/>
      <x:c r="M570" s="12" t="str">
        <x:v>Snared 1 | Target: Settlement</x:v>
      </x:c>
      <x:c r="N570" s="12" t="str">
        <x:v>Quick, Precise, Harvest, Attack</x:v>
      </x:c>
      <x:c r="O570" s="12" t="str">
        <x:v>Deal 2 damage. Apply Snared 1 if the target has a Settlement weak point, otherwise gain Marked 1.</x:v>
      </x:c>
      <x:c r="P570" s="12" t="str">
        <x:v>Deal 2 damage with Scrap Knife. Apply Snared 1 against a matching Settlement weak point; otherwise apply Marked 1. If this breaks a weak point, improve harvest quality by one step unless it is already Clean.</x:v>
      </x:c>
      <x:c r="Q570" s="12" t="str"/>
      <x:c r="R570" s="12" t="str">
        <x:v>quirk: harvest</x:v>
      </x:c>
      <x:c r="S570" s="12" t="str">
        <x:v>e6f4d66efab1</x:v>
      </x:c>
      <x:c r="T570" s="12" t="n">
        <x:f>COUNTIF($S$2:$S$757,S570)</x:f>
        <x:v>1</x:v>
      </x:c>
      <x:c r="U570" s="12" t="str">
        <x:f>IF(T570=1,"OK","DUPLICATE")</x:f>
        <x:v>OK</x:v>
      </x:c>
    </x:row>
    <x:row r="571" ht="39.599998474121094" hidden="0" customHeight="1">
      <x:c r="A571" s="12" t="str">
        <x:v>Scrap Knife</x:v>
      </x:c>
      <x:c r="B571" s="12" t="str">
        <x:v>SCRAP DAGGER</x:v>
      </x:c>
      <x:c r="C571" s="12" t="str">
        <x:v>weapon</x:v>
      </x:c>
      <x:c r="D571" s="12" t="str">
        <x:v>dagger</x:v>
      </x:c>
      <x:c r="E571" s="12" t="str">
        <x:v>early</x:v>
      </x:c>
      <x:c r="F571" s="12" t="str">
        <x:v>uncommon</x:v>
      </x:c>
      <x:c r="G571" s="12" t="str">
        <x:v>Scrap Knife — Technique</x:v>
      </x:c>
      <x:c r="H571" s="34" t="n">
        <x:v>1</x:v>
      </x:c>
      <x:c r="I571" s="34" t="str">
        <x:v>skill</x:v>
      </x:c>
      <x:c r="J571" s="34" t="str"/>
      <x:c r="K571" s="34" t="str"/>
      <x:c r="L571" s="34" t="n">
        <x:v>1</x:v>
      </x:c>
      <x:c r="M571" s="12" t="str">
        <x:v>Opens: True</x:v>
      </x:c>
      <x:c r="N571" s="12" t="str">
        <x:v>Quick, Precise, Harvest, Setup</x:v>
      </x:c>
      <x:c r="O571" s="12" t="str">
        <x:v>Expose a fragile weak point; next knife attack gains +2 break damage. Also gain 1 block.</x:v>
      </x:c>
      <x:c r="P571" s="12" t="str">
        <x:v>Expose a fragile weak point; next knife attack gains +2 break damage. Gain 1 block. If this breaks a weak point, improve harvest quality by one step unless it is already Clean.</x:v>
      </x:c>
      <x:c r="Q571" s="12" t="str"/>
      <x:c r="R571" s="12" t="str">
        <x:v>quirk: harvest</x:v>
      </x:c>
      <x:c r="S571" s="12" t="str">
        <x:v>a868b87ebe28</x:v>
      </x:c>
      <x:c r="T571" s="12" t="n">
        <x:f>COUNTIF($S$2:$S$757,S571)</x:f>
        <x:v>1</x:v>
      </x:c>
      <x:c r="U571" s="12" t="str">
        <x:f>IF(T571=1,"OK","DUPLICATE")</x:f>
        <x:v>OK</x:v>
      </x:c>
    </x:row>
    <x:row r="572" ht="39.599998474121094" hidden="0" customHeight="1">
      <x:c r="A572" s="12" t="str">
        <x:v>Scrap Knife</x:v>
      </x:c>
      <x:c r="B572" s="12" t="str">
        <x:v>SCRAP DAGGER</x:v>
      </x:c>
      <x:c r="C572" s="12" t="str">
        <x:v>weapon</x:v>
      </x:c>
      <x:c r="D572" s="12" t="str">
        <x:v>dagger</x:v>
      </x:c>
      <x:c r="E572" s="12" t="str">
        <x:v>early</x:v>
      </x:c>
      <x:c r="F572" s="12" t="str">
        <x:v>uncommon</x:v>
      </x:c>
      <x:c r="G572" s="12" t="str">
        <x:v>Scrap Knife — Payoff</x:v>
      </x:c>
      <x:c r="H572" s="34" t="n">
        <x:v>2</x:v>
      </x:c>
      <x:c r="I572" s="34" t="str">
        <x:v>attack</x:v>
      </x:c>
      <x:c r="J572" s="34" t="n">
        <x:v>5</x:v>
      </x:c>
      <x:c r="K572" s="34" t="n">
        <x:v>1</x:v>
      </x:c>
      <x:c r="L572" s="34" t="str"/>
      <x:c r="M572" s="12" t="str">
        <x:v>Snared 1</x:v>
      </x:c>
      <x:c r="N572" s="12" t="str">
        <x:v>Quick, Precise, Harvest, Payoff, WeakPoint</x:v>
      </x:c>
      <x:c r="O572" s="12" t="str">
        <x:v>Deal 5 damage and 1 break damage. If this breaks a weak point, resolve Snared 1 and the harvest rider.</x:v>
      </x:c>
      <x:c r="P572" s="12" t="str">
        <x:v>Deal 5 damage and 1 break damage. If the weak point breaks, apply Snared 1 and resolve: If this breaks a weak point, improve harvest quality by one step unless it is already Clean.</x:v>
      </x:c>
      <x:c r="Q572" s="12" t="str"/>
      <x:c r="R572" s="12" t="str">
        <x:v>quirk: harvest | countsAsCounter False, firstCounterFree False</x:v>
      </x:c>
      <x:c r="S572" s="12" t="str">
        <x:v>3417609c91b5</x:v>
      </x:c>
      <x:c r="T572" s="12" t="n">
        <x:f>COUNTIF($S$2:$S$757,S572)</x:f>
        <x:v>1</x:v>
      </x:c>
      <x:c r="U572" s="12" t="str">
        <x:f>IF(T572=1,"OK","DUPLICATE")</x:f>
        <x:v>OK</x:v>
      </x:c>
    </x:row>
    <x:row r="573" ht="26.399999618530273" hidden="0" customHeight="1">
      <x:c r="A573" s="12" t="str">
        <x:v>Scrap Horn (Hunt Phase)</x:v>
      </x:c>
      <x:c r="B573" s="12" t="str">
        <x:v>SCRAP HORN (HUNT PHASE)</x:v>
      </x:c>
      <x:c r="C573" s="12" t="str">
        <x:v>tool</x:v>
      </x:c>
      <x:c r="D573" s="12" t="str">
        <x:v>instrument</x:v>
      </x:c>
      <x:c r="E573" s="12" t="str">
        <x:v>early</x:v>
      </x:c>
      <x:c r="F573" s="12" t="str">
        <x:v>uncommon</x:v>
      </x:c>
      <x:c r="G573" s="12" t="str">
        <x:v>Scrap Horn (Hunt Phase) — Hunt Call</x:v>
      </x:c>
      <x:c r="H573" s="34" t="n">
        <x:v>1</x:v>
      </x:c>
      <x:c r="I573" s="34" t="str">
        <x:v>support</x:v>
      </x:c>
      <x:c r="J573" s="34" t="str"/>
      <x:c r="K573" s="34" t="str"/>
      <x:c r="L573" s="34" t="n">
        <x:v>5</x:v>
      </x:c>
      <x:c r="M573" s="12" t="str"/>
      <x:c r="N573" s="12" t="str">
        <x:v>Support, Party, Panic</x:v>
      </x:c>
      <x:c r="O573" s="12" t="str">
        <x:v>Chosen ally gains 5 block and Prepared 2. Gain Panic 1.</x:v>
      </x:c>
      <x:c r="P573" s="12" t="str">
        <x:v>Chosen ally gains 5 block and Prepared 2. If the phase is wrong for this item, also gain Panic 1. If you deal no HP damage, gain +2 break damage.</x:v>
      </x:c>
      <x:c r="Q573" s="12" t="str"/>
      <x:c r="R573" s="12" t="str">
        <x:v>quirk: careful</x:v>
      </x:c>
      <x:c r="S573" s="12" t="str">
        <x:v>cd2bba609735</x:v>
      </x:c>
      <x:c r="T573" s="12" t="n">
        <x:f>COUNTIF($S$2:$S$757,S573)</x:f>
        <x:v>1</x:v>
      </x:c>
      <x:c r="U573" s="12" t="str">
        <x:f>IF(T573=1,"OK","DUPLICATE")</x:f>
        <x:v>OK</x:v>
      </x:c>
    </x:row>
    <x:row r="574" ht="26.399999618530273" hidden="0" customHeight="1">
      <x:c r="A574" s="12" t="str">
        <x:v>Scrap Horn (Hunt Phase)</x:v>
      </x:c>
      <x:c r="B574" s="12" t="str">
        <x:v>SCRAP HORN (HUNT PHASE)</x:v>
      </x:c>
      <x:c r="C574" s="12" t="str">
        <x:v>tool</x:v>
      </x:c>
      <x:c r="D574" s="12" t="str">
        <x:v>instrument</x:v>
      </x:c>
      <x:c r="E574" s="12" t="str">
        <x:v>early</x:v>
      </x:c>
      <x:c r="F574" s="12" t="str">
        <x:v>uncommon</x:v>
      </x:c>
      <x:c r="G574" s="12" t="str">
        <x:v>Scrap Horn (Hunt Phase) — Echo</x:v>
      </x:c>
      <x:c r="H574" s="34" t="n">
        <x:v>0</x:v>
      </x:c>
      <x:c r="I574" s="34" t="str">
        <x:v>reaction</x:v>
      </x:c>
      <x:c r="J574" s="34" t="str"/>
      <x:c r="K574" s="34" t="str"/>
      <x:c r="L574" s="34" t="str"/>
      <x:c r="M574" s="12" t="str"/>
      <x:c r="N574" s="12" t="str">
        <x:v>Support, Party, Panic</x:v>
      </x:c>
      <x:c r="O574" s="12" t="str">
        <x:v>After an ally breaks a weak point, give the next ally Guarded 1 or clear Panic 2.</x:v>
      </x:c>
      <x:c r="P574" s="12" t="str">
        <x:v>After an ally breaks a weak point or survives a hunt event, choose: next ally gains Guarded 1, or clear Panic 2. If you deal no HP damage, gain +2 break damage.</x:v>
      </x:c>
      <x:c r="Q574" s="12" t="str"/>
      <x:c r="R574" s="12" t="str">
        <x:v>quirk: careful</x:v>
      </x:c>
      <x:c r="S574" s="12" t="str">
        <x:v>4739ab4fab43</x:v>
      </x:c>
      <x:c r="T574" s="12" t="n">
        <x:f>COUNTIF($S$2:$S$757,S574)</x:f>
        <x:v>1</x:v>
      </x:c>
      <x:c r="U574" s="12" t="str">
        <x:f>IF(T574=1,"OK","DUPLICATE")</x:f>
        <x:v>OK</x:v>
      </x:c>
    </x:row>
    <x:row r="575" ht="26.399999618530273" hidden="0" customHeight="1">
      <x:c r="A575" s="12" t="str">
        <x:v>Scrap Horn (Showdown Phase)</x:v>
      </x:c>
      <x:c r="B575" s="12" t="str">
        <x:v>SCRAP HORN (SHOWDOWN PHASE)</x:v>
      </x:c>
      <x:c r="C575" s="12" t="str">
        <x:v>tool</x:v>
      </x:c>
      <x:c r="D575" s="12" t="str">
        <x:v>instrument</x:v>
      </x:c>
      <x:c r="E575" s="12" t="str">
        <x:v>early</x:v>
      </x:c>
      <x:c r="F575" s="12" t="str">
        <x:v>uncommon</x:v>
      </x:c>
      <x:c r="G575" s="12" t="str">
        <x:v>Scrap Horn (Showdown Phase) — War Call</x:v>
      </x:c>
      <x:c r="H575" s="34" t="n">
        <x:v>1</x:v>
      </x:c>
      <x:c r="I575" s="34" t="str">
        <x:v>support</x:v>
      </x:c>
      <x:c r="J575" s="34" t="str"/>
      <x:c r="K575" s="34" t="str"/>
      <x:c r="L575" s="34" t="n">
        <x:v>2</x:v>
      </x:c>
      <x:c r="M575" s="12" t="str"/>
      <x:c r="N575" s="12" t="str">
        <x:v>Support, Party, Panic</x:v>
      </x:c>
      <x:c r="O575" s="12" t="str">
        <x:v>Chosen ally gains 2 block and Prepared 3. Gain Panic 1.</x:v>
      </x:c>
      <x:c r="P575" s="12" t="str">
        <x:v>Chosen ally gains 2 block and Prepared 3. If the phase is wrong for this item, also gain Panic 1. The quarry targets this survivor next unless another card redirects it.</x:v>
      </x:c>
      <x:c r="Q575" s="12" t="str"/>
      <x:c r="R575" s="12" t="str">
        <x:v>quirk: bait</x:v>
      </x:c>
      <x:c r="S575" s="12" t="str">
        <x:v>38f12185d0eb</x:v>
      </x:c>
      <x:c r="T575" s="12" t="n">
        <x:f>COUNTIF($S$2:$S$757,S575)</x:f>
        <x:v>1</x:v>
      </x:c>
      <x:c r="U575" s="12" t="str">
        <x:f>IF(T575=1,"OK","DUPLICATE")</x:f>
        <x:v>OK</x:v>
      </x:c>
    </x:row>
    <x:row r="576" ht="39.599998474121094" hidden="0" customHeight="1">
      <x:c r="A576" s="12" t="str">
        <x:v>Scrap Horn (Showdown Phase)</x:v>
      </x:c>
      <x:c r="B576" s="12" t="str">
        <x:v>SCRAP HORN (SHOWDOWN PHASE)</x:v>
      </x:c>
      <x:c r="C576" s="12" t="str">
        <x:v>tool</x:v>
      </x:c>
      <x:c r="D576" s="12" t="str">
        <x:v>instrument</x:v>
      </x:c>
      <x:c r="E576" s="12" t="str">
        <x:v>early</x:v>
      </x:c>
      <x:c r="F576" s="12" t="str">
        <x:v>uncommon</x:v>
      </x:c>
      <x:c r="G576" s="12" t="str">
        <x:v>Scrap Horn (Showdown Phase) — Echo</x:v>
      </x:c>
      <x:c r="H576" s="34" t="n">
        <x:v>1</x:v>
      </x:c>
      <x:c r="I576" s="34" t="str">
        <x:v>reaction</x:v>
      </x:c>
      <x:c r="J576" s="34" t="str"/>
      <x:c r="K576" s="34" t="str"/>
      <x:c r="L576" s="34" t="str"/>
      <x:c r="M576" s="12" t="str"/>
      <x:c r="N576" s="12" t="str">
        <x:v>Support, Party, Panic</x:v>
      </x:c>
      <x:c r="O576" s="12" t="str">
        <x:v>After an ally breaks a weak point, give the next ally Guarded 1 or clear Panic 3.</x:v>
      </x:c>
      <x:c r="P576" s="12" t="str">
        <x:v>After an ally breaks a weak point or survives a hunt event, choose: next ally gains Guarded 1, or clear Panic 3. The quarry targets this survivor next unless another card redirects it.</x:v>
      </x:c>
      <x:c r="Q576" s="12" t="str"/>
      <x:c r="R576" s="12" t="str">
        <x:v>quirk: bait</x:v>
      </x:c>
      <x:c r="S576" s="12" t="str">
        <x:v>7d047056dbf7</x:v>
      </x:c>
      <x:c r="T576" s="12" t="n">
        <x:f>COUNTIF($S$2:$S$757,S576)</x:f>
        <x:v>1</x:v>
      </x:c>
      <x:c r="U576" s="12" t="str">
        <x:f>IF(T576=1,"OK","DUPLICATE")</x:f>
        <x:v>OK</x:v>
      </x:c>
    </x:row>
    <x:row r="577" ht="26.399999618530273" hidden="0" customHeight="1">
      <x:c r="A577" s="12" t="str">
        <x:v>Scrap Guard</x:v>
      </x:c>
      <x:c r="B577" s="12" t="str">
        <x:v>SCRAP SHIELD</x:v>
      </x:c>
      <x:c r="C577" s="12" t="str">
        <x:v>offhand</x:v>
      </x:c>
      <x:c r="D577" s="12" t="str">
        <x:v>shield</x:v>
      </x:c>
      <x:c r="E577" s="12" t="str">
        <x:v>early</x:v>
      </x:c>
      <x:c r="F577" s="12" t="str">
        <x:v>uncommon</x:v>
      </x:c>
      <x:c r="G577" s="12" t="str">
        <x:v>Scrap Guard — Shield Wall</x:v>
      </x:c>
      <x:c r="H577" s="34" t="n">
        <x:v>1</x:v>
      </x:c>
      <x:c r="I577" s="34" t="str">
        <x:v>skill</x:v>
      </x:c>
      <x:c r="J577" s="34" t="str"/>
      <x:c r="K577" s="34" t="str"/>
      <x:c r="L577" s="34" t="n">
        <x:v>4</x:v>
      </x:c>
      <x:c r="M577" s="12" t="str"/>
      <x:c r="N577" s="12" t="str">
        <x:v>Defensive, Counter, Party</x:v>
      </x:c>
      <x:c r="O577" s="12" t="str">
        <x:v>Gain 4 block and give chosen ally Guarded 2. The first Counter from this equipment this battle costs 0.</x:v>
      </x:c>
      <x:c r="P577" s="12" t="str">
        <x:v>Gain 4 block and give chosen ally Guarded 2. Set firstCounterReady for this equipment if unused. If the quarry is Marked, draw 1 then discard 1.</x:v>
      </x:c>
      <x:c r="Q577" s="12" t="str"/>
      <x:c r="R577" s="12" t="str">
        <x:v>quirk: marked | grantsFirstCounterFree True</x:v>
      </x:c>
      <x:c r="S577" s="12" t="str">
        <x:v>8bfda29ea6cf</x:v>
      </x:c>
      <x:c r="T577" s="12" t="n">
        <x:f>COUNTIF($S$2:$S$757,S577)</x:f>
        <x:v>1</x:v>
      </x:c>
      <x:c r="U577" s="12" t="str">
        <x:f>IF(T577=1,"OK","DUPLICATE")</x:f>
        <x:v>OK</x:v>
      </x:c>
    </x:row>
    <x:row r="578" ht="39.599998474121094" hidden="0" customHeight="1">
      <x:c r="A578" s="12" t="str">
        <x:v>Scrap Guard</x:v>
      </x:c>
      <x:c r="B578" s="12" t="str">
        <x:v>SCRAP SHIELD</x:v>
      </x:c>
      <x:c r="C578" s="12" t="str">
        <x:v>offhand</x:v>
      </x:c>
      <x:c r="D578" s="12" t="str">
        <x:v>shield</x:v>
      </x:c>
      <x:c r="E578" s="12" t="str">
        <x:v>early</x:v>
      </x:c>
      <x:c r="F578" s="12" t="str">
        <x:v>uncommon</x:v>
      </x:c>
      <x:c r="G578" s="12" t="str">
        <x:v>Scrap Guard — Answering Bash</x:v>
      </x:c>
      <x:c r="H578" s="34" t="n">
        <x:v>1</x:v>
      </x:c>
      <x:c r="I578" s="34" t="str">
        <x:v>reaction</x:v>
      </x:c>
      <x:c r="J578" s="34" t="n">
        <x:v>2</x:v>
      </x:c>
      <x:c r="K578" s="34" t="str"/>
      <x:c r="L578" s="34" t="n">
        <x:v>0</x:v>
      </x:c>
      <x:c r="M578" s="12" t="str"/>
      <x:c r="N578" s="12" t="str">
        <x:v>Defensive, Counter, Party</x:v>
      </x:c>
      <x:c r="O578" s="12" t="str">
        <x:v>Counter for 2 damage after blocking. Costs 0 if it is this equipment’s first Counter of the battle.</x:v>
      </x:c>
      <x:c r="P578" s="12" t="str">
        <x:v>After this survivor blocks or prevents damage, Counter for 2 damage. If firstCounterUsed[scrapGuard] is false this battle, pay 0 and then set it true. If the quarry is Marked, draw 1 then discard 1.</x:v>
      </x:c>
      <x:c r="Q578" s="12" t="str">
        <x:v>YES</x:v>
      </x:c>
      <x:c r="R578" s="12" t="str">
        <x:v>quirk: marked | countsAsCounter True, firstCounterFree True, counterFreeScope perBattlePerEquipment</x:v>
      </x:c>
      <x:c r="S578" s="12" t="str">
        <x:v>dc3b7c7396b1</x:v>
      </x:c>
      <x:c r="T578" s="12" t="n">
        <x:f>COUNTIF($S$2:$S$757,S578)</x:f>
        <x:v>1</x:v>
      </x:c>
      <x:c r="U578" s="12" t="str">
        <x:f>IF(T578=1,"OK","DUPLICATE")</x:f>
        <x:v>OK</x:v>
      </x:c>
    </x:row>
    <x:row r="579" ht="39.599998474121094" hidden="0" customHeight="1">
      <x:c r="A579" s="12" t="str">
        <x:v>Scrap Blade</x:v>
      </x:c>
      <x:c r="B579" s="12" t="str">
        <x:v>SCRAP SWORD</x:v>
      </x:c>
      <x:c r="C579" s="12" t="str">
        <x:v>weapon</x:v>
      </x:c>
      <x:c r="D579" s="12" t="str">
        <x:v>sword</x:v>
      </x:c>
      <x:c r="E579" s="12" t="str">
        <x:v>early</x:v>
      </x:c>
      <x:c r="F579" s="12" t="str">
        <x:v>uncommon</x:v>
      </x:c>
      <x:c r="G579" s="12" t="str">
        <x:v>Scrap Blade — Opening Cut</x:v>
      </x:c>
      <x:c r="H579" s="34" t="n">
        <x:v>1</x:v>
      </x:c>
      <x:c r="I579" s="34" t="str">
        <x:v>attack</x:v>
      </x:c>
      <x:c r="J579" s="34" t="n">
        <x:v>3</x:v>
      </x:c>
      <x:c r="K579" s="34" t="n">
        <x:v>2</x:v>
      </x:c>
      <x:c r="L579" s="34" t="str"/>
      <x:c r="M579" s="12" t="str">
        <x:v>Exposed 2 | Target: Settlement</x:v>
      </x:c>
      <x:c r="N579" s="12" t="str">
        <x:v>Precise, Marking, Counter, Attack</x:v>
      </x:c>
      <x:c r="O579" s="12" t="str">
        <x:v>Deal 3 damage. Apply Exposed 2 if the target has a Settlement weak point, otherwise gain Marked 1.</x:v>
      </x:c>
      <x:c r="P579" s="12" t="str">
        <x:v>Deal 3 damage with Scrap Blade. Apply Exposed 2 against a matching Settlement weak point; otherwise apply Marked 1. If a tell is Open, add +2 to the listed damage or block value.</x:v>
      </x:c>
      <x:c r="Q579" s="12" t="str"/>
      <x:c r="R579" s="12" t="str">
        <x:v>quirk: openTell</x:v>
      </x:c>
      <x:c r="S579" s="12" t="str">
        <x:v>a6e5a3a9351e</x:v>
      </x:c>
      <x:c r="T579" s="12" t="n">
        <x:f>COUNTIF($S$2:$S$757,S579)</x:f>
        <x:v>1</x:v>
      </x:c>
      <x:c r="U579" s="12" t="str">
        <x:f>IF(T579=1,"OK","DUPLICATE")</x:f>
        <x:v>OK</x:v>
      </x:c>
    </x:row>
    <x:row r="580" ht="39.599998474121094" hidden="0" customHeight="1">
      <x:c r="A580" s="12" t="str">
        <x:v>Scrap Blade</x:v>
      </x:c>
      <x:c r="B580" s="12" t="str">
        <x:v>SCRAP SWORD</x:v>
      </x:c>
      <x:c r="C580" s="12" t="str">
        <x:v>weapon</x:v>
      </x:c>
      <x:c r="D580" s="12" t="str">
        <x:v>sword</x:v>
      </x:c>
      <x:c r="E580" s="12" t="str">
        <x:v>early</x:v>
      </x:c>
      <x:c r="F580" s="12" t="str">
        <x:v>uncommon</x:v>
      </x:c>
      <x:c r="G580" s="12" t="str">
        <x:v>Scrap Blade — Technique</x:v>
      </x:c>
      <x:c r="H580" s="34" t="n">
        <x:v>1</x:v>
      </x:c>
      <x:c r="I580" s="34" t="str">
        <x:v>skill</x:v>
      </x:c>
      <x:c r="J580" s="34" t="str"/>
      <x:c r="K580" s="34" t="str"/>
      <x:c r="L580" s="34" t="n">
        <x:v>2</x:v>
      </x:c>
      <x:c r="M580" s="12" t="str">
        <x:v>Opens: True</x:v>
      </x:c>
      <x:c r="N580" s="12" t="str">
        <x:v>Precise, Marking, Counter, Setup</x:v>
      </x:c>
      <x:c r="O580" s="12" t="str">
        <x:v>Set a parry line; your next Counter with this equipment costs 0 if it is the first Counter this battle. Also gain 2 block.</x:v>
      </x:c>
      <x:c r="P580" s="12" t="str">
        <x:v>Set a parry line; your next Counter with this equipment costs 0 if it is the first Counter this battle. Gain 2 block. If a tell is Open, add +2 to the listed damage or block value.</x:v>
      </x:c>
      <x:c r="Q580" s="12" t="str">
        <x:v>YES</x:v>
      </x:c>
      <x:c r="R580" s="12" t="str">
        <x:v>quirk: openTell</x:v>
      </x:c>
      <x:c r="S580" s="12" t="str">
        <x:v>5a9ce11f2dee</x:v>
      </x:c>
      <x:c r="T580" s="12" t="n">
        <x:f>COUNTIF($S$2:$S$757,S580)</x:f>
        <x:v>1</x:v>
      </x:c>
      <x:c r="U580" s="12" t="str">
        <x:f>IF(T580=1,"OK","DUPLICATE")</x:f>
        <x:v>OK</x:v>
      </x:c>
    </x:row>
    <x:row r="581" ht="26.399999618530273" hidden="0" customHeight="1">
      <x:c r="A581" s="12" t="str">
        <x:v>Scrap Blade</x:v>
      </x:c>
      <x:c r="B581" s="12" t="str">
        <x:v>SCRAP SWORD</x:v>
      </x:c>
      <x:c r="C581" s="12" t="str">
        <x:v>weapon</x:v>
      </x:c>
      <x:c r="D581" s="12" t="str">
        <x:v>sword</x:v>
      </x:c>
      <x:c r="E581" s="12" t="str">
        <x:v>early</x:v>
      </x:c>
      <x:c r="F581" s="12" t="str">
        <x:v>uncommon</x:v>
      </x:c>
      <x:c r="G581" s="12" t="str">
        <x:v>Scrap Blade — Payoff</x:v>
      </x:c>
      <x:c r="H581" s="34" t="n">
        <x:v>2</x:v>
      </x:c>
      <x:c r="I581" s="34" t="str">
        <x:v>reaction</x:v>
      </x:c>
      <x:c r="J581" s="34" t="n">
        <x:v>7</x:v>
      </x:c>
      <x:c r="K581" s="34" t="n">
        <x:v>3</x:v>
      </x:c>
      <x:c r="L581" s="34" t="str"/>
      <x:c r="M581" s="12" t="str">
        <x:v>Exposed 1</x:v>
      </x:c>
      <x:c r="N581" s="12" t="str">
        <x:v>Precise, Marking, Counter, Payoff, WeakPoint</x:v>
      </x:c>
      <x:c r="O581" s="12" t="str">
        <x:v>Deal 7 damage and 3 break damage. If this breaks a weak point, resolve Exposed 1 and the openTell rider.</x:v>
      </x:c>
      <x:c r="P581" s="12" t="str">
        <x:v>Deal 7 damage and 3 break damage. If the weak point breaks, apply Exposed 1 and resolve: If a tell is Open, add +2 to the listed damage or block value.</x:v>
      </x:c>
      <x:c r="Q581" s="12" t="str">
        <x:v>YES</x:v>
      </x:c>
      <x:c r="R581" s="12" t="str">
        <x:v>quirk: openTell | countsAsCounter True, firstCounterFree True</x:v>
      </x:c>
      <x:c r="S581" s="12" t="str">
        <x:v>cefe438e2c2e</x:v>
      </x:c>
      <x:c r="T581" s="12" t="n">
        <x:f>COUNTIF($S$2:$S$757,S581)</x:f>
        <x:v>1</x:v>
      </x:c>
      <x:c r="U581" s="12" t="str">
        <x:f>IF(T581=1,"OK","DUPLICATE")</x:f>
        <x:v>OK</x:v>
      </x:c>
    </x:row>
    <x:row r="582" ht="39.599998474121094" hidden="0" customHeight="1">
      <x:c r="A582" s="12" t="str">
        <x:v>Wailing Armor Set</x:v>
      </x:c>
      <x:c r="B582" s="12" t="str">
        <x:v>SCREAMING ARMOR SET</x:v>
      </x:c>
      <x:c r="C582" s="12" t="str">
        <x:v>set</x:v>
      </x:c>
      <x:c r="D582" s="12" t="str">
        <x:v>armor</x:v>
      </x:c>
      <x:c r="E582" s="12" t="str">
        <x:v>early</x:v>
      </x:c>
      <x:c r="F582" s="12" t="str">
        <x:v>uncommon</x:v>
      </x:c>
      <x:c r="G582" s="12" t="str">
        <x:v>Wailing Armor Set — Brace</x:v>
      </x:c>
      <x:c r="H582" s="34" t="n">
        <x:v>1</x:v>
      </x:c>
      <x:c r="I582" s="34" t="str">
        <x:v>skill</x:v>
      </x:c>
      <x:c r="J582" s="34" t="str"/>
      <x:c r="K582" s="34" t="str"/>
      <x:c r="L582" s="34" t="n">
        <x:v>5</x:v>
      </x:c>
      <x:c r="M582" s="12" t="str"/>
      <x:c r="N582" s="12" t="str">
        <x:v>Defensive, Party, WoundCare</x:v>
      </x:c>
      <x:c r="O582" s="12" t="str">
        <x:v>Gain 5 block and Guarded 3. If hit before your next turn, reduce Marked or Panic by 1.</x:v>
      </x:c>
      <x:c r="P582" s="12" t="str">
        <x:v>Gain 5 block and Guarded 3. If the next monster hit lands before your next turn, reduce Marked or Panic by 1 after damage. If played after blocking, your next Counter gains +2 damage.</x:v>
      </x:c>
      <x:c r="Q582" s="12" t="str"/>
      <x:c r="R582" s="12" t="str">
        <x:v>quirk: counterReady</x:v>
      </x:c>
      <x:c r="S582" s="12" t="str">
        <x:v>3635a13a1845</x:v>
      </x:c>
      <x:c r="T582" s="12" t="n">
        <x:f>COUNTIF($S$2:$S$757,S582)</x:f>
        <x:v>1</x:v>
      </x:c>
      <x:c r="U582" s="12" t="str">
        <x:f>IF(T582=1,"OK","DUPLICATE")</x:f>
        <x:v>OK</x:v>
      </x:c>
    </x:row>
    <x:row r="583" ht="39.599998474121094" hidden="0" customHeight="1">
      <x:c r="A583" s="12" t="str">
        <x:v>Wailing Armor Set</x:v>
      </x:c>
      <x:c r="B583" s="12" t="str">
        <x:v>SCREAMING ARMOR SET</x:v>
      </x:c>
      <x:c r="C583" s="12" t="str">
        <x:v>set</x:v>
      </x:c>
      <x:c r="D583" s="12" t="str">
        <x:v>armor</x:v>
      </x:c>
      <x:c r="E583" s="12" t="str">
        <x:v>early</x:v>
      </x:c>
      <x:c r="F583" s="12" t="str">
        <x:v>uncommon</x:v>
      </x:c>
      <x:c r="G583" s="12" t="str">
        <x:v>Wailing Armor Set — Setline</x:v>
      </x:c>
      <x:c r="H583" s="34" t="n">
        <x:v>2</x:v>
      </x:c>
      <x:c r="I583" s="34" t="str">
        <x:v>reaction</x:v>
      </x:c>
      <x:c r="J583" s="34" t="str"/>
      <x:c r="K583" s="34" t="str"/>
      <x:c r="L583" s="34" t="n">
        <x:v>8</x:v>
      </x:c>
      <x:c r="M583" s="12" t="str"/>
      <x:c r="N583" s="12" t="str">
        <x:v>Defensive, Party, WoundCare, Reaction</x:v>
      </x:c>
      <x:c r="O583" s="12" t="str">
        <x:v>After damage is previewed, prevent 8 damage. Then give the next ally Guarded 1.</x:v>
      </x:c>
      <x:c r="P583" s="12" t="str">
        <x:v>After incoming damage is previewed, prevent 8 damage with the set slot. Then the next ally gains Guarded 1. If played after blocking, your next Counter gains +2 damage.</x:v>
      </x:c>
      <x:c r="Q583" s="12" t="str"/>
      <x:c r="R583" s="12" t="str">
        <x:v>quirk: counterReady</x:v>
      </x:c>
      <x:c r="S583" s="12" t="str">
        <x:v>a3d89abce40e</x:v>
      </x:c>
      <x:c r="T583" s="12" t="n">
        <x:f>COUNTIF($S$2:$S$757,S583)</x:f>
        <x:v>1</x:v>
      </x:c>
      <x:c r="U583" s="12" t="str">
        <x:f>IF(T583=1,"OK","DUPLICATE")</x:f>
        <x:v>OK</x:v>
      </x:c>
    </x:row>
    <x:row r="584" ht="39.599998474121094" hidden="0" customHeight="1">
      <x:c r="A584" s="12" t="str">
        <x:v>Wailing Bracers</x:v>
      </x:c>
      <x:c r="B584" s="12" t="str">
        <x:v>SCREAMING BRACERS</x:v>
      </x:c>
      <x:c r="C584" s="12" t="str">
        <x:v>arms</x:v>
      </x:c>
      <x:c r="D584" s="12" t="str">
        <x:v>armor</x:v>
      </x:c>
      <x:c r="E584" s="12" t="str">
        <x:v>early</x:v>
      </x:c>
      <x:c r="F584" s="12" t="str">
        <x:v>common</x:v>
      </x:c>
      <x:c r="G584" s="12" t="str">
        <x:v>Wailing Bracers — Brace</x:v>
      </x:c>
      <x:c r="H584" s="34" t="n">
        <x:v>1</x:v>
      </x:c>
      <x:c r="I584" s="34" t="str">
        <x:v>skill</x:v>
      </x:c>
      <x:c r="J584" s="34" t="str"/>
      <x:c r="K584" s="34" t="str"/>
      <x:c r="L584" s="34" t="n">
        <x:v>2</x:v>
      </x:c>
      <x:c r="M584" s="12" t="str"/>
      <x:c r="N584" s="12" t="str">
        <x:v>Defensive, Party, WoundCare</x:v>
      </x:c>
      <x:c r="O584" s="12" t="str">
        <x:v>Gain 2 block and Guarded 1. If hit before your next turn, reduce Bleed or Panic by 1.</x:v>
      </x:c>
      <x:c r="P584" s="12" t="str">
        <x:v>Gain 2 block and Guarded 1. If the next monster hit lands before your next turn, reduce Bleed or Panic by 1 after damage. If you play a third attack this round, gain Panic 1.</x:v>
      </x:c>
      <x:c r="Q584" s="12" t="str"/>
      <x:c r="R584" s="12" t="str">
        <x:v>quirk: frenzyCheck</x:v>
      </x:c>
      <x:c r="S584" s="12" t="str">
        <x:v>43ca539b7742</x:v>
      </x:c>
      <x:c r="T584" s="12" t="n">
        <x:f>COUNTIF($S$2:$S$757,S584)</x:f>
        <x:v>1</x:v>
      </x:c>
      <x:c r="U584" s="12" t="str">
        <x:f>IF(T584=1,"OK","DUPLICATE")</x:f>
        <x:v>OK</x:v>
      </x:c>
    </x:row>
    <x:row r="585" ht="26.399999618530273" hidden="0" customHeight="1">
      <x:c r="A585" s="12" t="str">
        <x:v>Wailing Bracers</x:v>
      </x:c>
      <x:c r="B585" s="12" t="str">
        <x:v>SCREAMING BRACERS</x:v>
      </x:c>
      <x:c r="C585" s="12" t="str">
        <x:v>arms</x:v>
      </x:c>
      <x:c r="D585" s="12" t="str">
        <x:v>armor</x:v>
      </x:c>
      <x:c r="E585" s="12" t="str">
        <x:v>early</x:v>
      </x:c>
      <x:c r="F585" s="12" t="str">
        <x:v>common</x:v>
      </x:c>
      <x:c r="G585" s="12" t="str">
        <x:v>Wailing Bracers — Fitted Plate</x:v>
      </x:c>
      <x:c r="H585" s="34" t="n">
        <x:v>1</x:v>
      </x:c>
      <x:c r="I585" s="34" t="str">
        <x:v>reaction</x:v>
      </x:c>
      <x:c r="J585" s="34" t="str"/>
      <x:c r="K585" s="34" t="str"/>
      <x:c r="L585" s="34" t="n">
        <x:v>3</x:v>
      </x:c>
      <x:c r="M585" s="12" t="str"/>
      <x:c r="N585" s="12" t="str">
        <x:v>Defensive, Party, WoundCare, Reaction</x:v>
      </x:c>
      <x:c r="O585" s="12" t="str">
        <x:v>After damage is previewed, prevent 3 damage. Then give the next ally Guarded 1.</x:v>
      </x:c>
      <x:c r="P585" s="12" t="str">
        <x:v>After incoming damage is previewed, prevent 3 damage with the arms slot. Then the next ally gains Guarded 1. If you play a third attack this round, gain Panic 1.</x:v>
      </x:c>
      <x:c r="Q585" s="12" t="str"/>
      <x:c r="R585" s="12" t="str">
        <x:v>quirk: frenzyCheck</x:v>
      </x:c>
      <x:c r="S585" s="12" t="str">
        <x:v>783ffd3ee304</x:v>
      </x:c>
      <x:c r="T585" s="12" t="n">
        <x:f>COUNTIF($S$2:$S$757,S585)</x:f>
        <x:v>1</x:v>
      </x:c>
      <x:c r="U585" s="12" t="str">
        <x:f>IF(T585=1,"OK","DUPLICATE")</x:f>
        <x:v>OK</x:v>
      </x:c>
    </x:row>
    <x:row r="586" ht="39.599998474121094" hidden="0" customHeight="1">
      <x:c r="A586" s="12" t="str">
        <x:v>Wailing Coat</x:v>
      </x:c>
      <x:c r="B586" s="12" t="str">
        <x:v>SCREAMING COAT</x:v>
      </x:c>
      <x:c r="C586" s="12" t="str">
        <x:v>body</x:v>
      </x:c>
      <x:c r="D586" s="12" t="str">
        <x:v>armor</x:v>
      </x:c>
      <x:c r="E586" s="12" t="str">
        <x:v>early</x:v>
      </x:c>
      <x:c r="F586" s="12" t="str">
        <x:v>common</x:v>
      </x:c>
      <x:c r="G586" s="12" t="str">
        <x:v>Wailing Coat — Brace</x:v>
      </x:c>
      <x:c r="H586" s="34" t="n">
        <x:v>1</x:v>
      </x:c>
      <x:c r="I586" s="34" t="str">
        <x:v>skill</x:v>
      </x:c>
      <x:c r="J586" s="34" t="str"/>
      <x:c r="K586" s="34" t="str"/>
      <x:c r="L586" s="34" t="n">
        <x:v>3</x:v>
      </x:c>
      <x:c r="M586" s="12" t="str"/>
      <x:c r="N586" s="12" t="str">
        <x:v>Defensive, Party, WoundCare</x:v>
      </x:c>
      <x:c r="O586" s="12" t="str">
        <x:v>Gain 3 block and Guarded 2. If hit before your next turn, reduce Burn or Panic by 1.</x:v>
      </x:c>
      <x:c r="P586" s="12" t="str">
        <x:v>Gain 3 block and Guarded 2. If the next monster hit lands before your next turn, reduce Burn or Panic by 1 after damage. If you deal no HP damage, gain +2 break damage.</x:v>
      </x:c>
      <x:c r="Q586" s="12" t="str"/>
      <x:c r="R586" s="12" t="str">
        <x:v>quirk: careful</x:v>
      </x:c>
      <x:c r="S586" s="12" t="str">
        <x:v>047ce7c81353</x:v>
      </x:c>
      <x:c r="T586" s="12" t="n">
        <x:f>COUNTIF($S$2:$S$757,S586)</x:f>
        <x:v>1</x:v>
      </x:c>
      <x:c r="U586" s="12" t="str">
        <x:f>IF(T586=1,"OK","DUPLICATE")</x:f>
        <x:v>OK</x:v>
      </x:c>
    </x:row>
    <x:row r="587" ht="26.399999618530273" hidden="0" customHeight="1">
      <x:c r="A587" s="12" t="str">
        <x:v>Wailing Coat</x:v>
      </x:c>
      <x:c r="B587" s="12" t="str">
        <x:v>SCREAMING COAT</x:v>
      </x:c>
      <x:c r="C587" s="12" t="str">
        <x:v>body</x:v>
      </x:c>
      <x:c r="D587" s="12" t="str">
        <x:v>armor</x:v>
      </x:c>
      <x:c r="E587" s="12" t="str">
        <x:v>early</x:v>
      </x:c>
      <x:c r="F587" s="12" t="str">
        <x:v>common</x:v>
      </x:c>
      <x:c r="G587" s="12" t="str">
        <x:v>Wailing Coat — Fitted Plate</x:v>
      </x:c>
      <x:c r="H587" s="34" t="n">
        <x:v>2</x:v>
      </x:c>
      <x:c r="I587" s="34" t="str">
        <x:v>reaction</x:v>
      </x:c>
      <x:c r="J587" s="34" t="str"/>
      <x:c r="K587" s="34" t="str"/>
      <x:c r="L587" s="34" t="n">
        <x:v>5</x:v>
      </x:c>
      <x:c r="M587" s="12" t="str"/>
      <x:c r="N587" s="12" t="str">
        <x:v>Defensive, Party, WoundCare, Reaction</x:v>
      </x:c>
      <x:c r="O587" s="12" t="str">
        <x:v>After damage is previewed, prevent 5 damage. Then give the next ally Guarded 1.</x:v>
      </x:c>
      <x:c r="P587" s="12" t="str">
        <x:v>After incoming damage is previewed, prevent 5 damage with the body slot. Then the next ally gains Guarded 1. If you deal no HP damage, gain +2 break damage.</x:v>
      </x:c>
      <x:c r="Q587" s="12" t="str"/>
      <x:c r="R587" s="12" t="str">
        <x:v>quirk: careful</x:v>
      </x:c>
      <x:c r="S587" s="12" t="str">
        <x:v>f549feb07121</x:v>
      </x:c>
      <x:c r="T587" s="12" t="n">
        <x:f>COUNTIF($S$2:$S$757,S587)</x:f>
        <x:v>1</x:v>
      </x:c>
      <x:c r="U587" s="12" t="str">
        <x:f>IF(T587=1,"OK","DUPLICATE")</x:f>
        <x:v>OK</x:v>
      </x:c>
    </x:row>
    <x:row r="588" ht="26.399999618530273" hidden="0" customHeight="1">
      <x:c r="A588" s="12" t="str">
        <x:v>Wailing Horns</x:v>
      </x:c>
      <x:c r="B588" s="12" t="str">
        <x:v>SCREAMING HORNS</x:v>
      </x:c>
      <x:c r="C588" s="12" t="str">
        <x:v>head</x:v>
      </x:c>
      <x:c r="D588" s="12" t="str">
        <x:v>instrument</x:v>
      </x:c>
      <x:c r="E588" s="12" t="str">
        <x:v>early</x:v>
      </x:c>
      <x:c r="F588" s="12" t="str">
        <x:v>common</x:v>
      </x:c>
      <x:c r="G588" s="12" t="str">
        <x:v>Wailing Horns — Resonance</x:v>
      </x:c>
      <x:c r="H588" s="34" t="n">
        <x:v>1</x:v>
      </x:c>
      <x:c r="I588" s="34" t="str">
        <x:v>support</x:v>
      </x:c>
      <x:c r="J588" s="34" t="str"/>
      <x:c r="K588" s="34" t="str"/>
      <x:c r="L588" s="34" t="n">
        <x:v>4</x:v>
      </x:c>
      <x:c r="M588" s="12" t="str"/>
      <x:c r="N588" s="12" t="str">
        <x:v>Support, Party, Panic</x:v>
      </x:c>
      <x:c r="O588" s="12" t="str">
        <x:v>Chosen ally gains 4 block and Prepared 3. Gain Panic 1.</x:v>
      </x:c>
      <x:c r="P588" s="12" t="str">
        <x:v>Chosen ally gains 4 block and Prepared 3. If the phase is wrong for this item, also gain Panic 1. If the quarry is Marked, draw 1 then discard 1.</x:v>
      </x:c>
      <x:c r="Q588" s="12" t="str"/>
      <x:c r="R588" s="12" t="str">
        <x:v>quirk: marked</x:v>
      </x:c>
      <x:c r="S588" s="12" t="str">
        <x:v>1530c21d70d5</x:v>
      </x:c>
      <x:c r="T588" s="12" t="n">
        <x:f>COUNTIF($S$2:$S$757,S588)</x:f>
        <x:v>1</x:v>
      </x:c>
      <x:c r="U588" s="12" t="str">
        <x:f>IF(T588=1,"OK","DUPLICATE")</x:f>
        <x:v>OK</x:v>
      </x:c>
    </x:row>
    <x:row r="589" ht="26.399999618530273" hidden="0" customHeight="1">
      <x:c r="A589" s="12" t="str">
        <x:v>Wailing Horns</x:v>
      </x:c>
      <x:c r="B589" s="12" t="str">
        <x:v>SCREAMING HORNS</x:v>
      </x:c>
      <x:c r="C589" s="12" t="str">
        <x:v>head</x:v>
      </x:c>
      <x:c r="D589" s="12" t="str">
        <x:v>instrument</x:v>
      </x:c>
      <x:c r="E589" s="12" t="str">
        <x:v>early</x:v>
      </x:c>
      <x:c r="F589" s="12" t="str">
        <x:v>common</x:v>
      </x:c>
      <x:c r="G589" s="12" t="str">
        <x:v>Wailing Horns — Echo</x:v>
      </x:c>
      <x:c r="H589" s="34" t="n">
        <x:v>1</x:v>
      </x:c>
      <x:c r="I589" s="34" t="str">
        <x:v>reaction</x:v>
      </x:c>
      <x:c r="J589" s="34" t="str"/>
      <x:c r="K589" s="34" t="str"/>
      <x:c r="L589" s="34" t="str"/>
      <x:c r="M589" s="12" t="str"/>
      <x:c r="N589" s="12" t="str">
        <x:v>Support, Party, Panic</x:v>
      </x:c>
      <x:c r="O589" s="12" t="str">
        <x:v>After an ally breaks a weak point, give the next ally Guarded 1 or clear Panic 3.</x:v>
      </x:c>
      <x:c r="P589" s="12" t="str">
        <x:v>After an ally breaks a weak point or survives a hunt event, choose: next ally gains Guarded 1, or clear Panic 3. If the quarry is Marked, draw 1 then discard 1.</x:v>
      </x:c>
      <x:c r="Q589" s="12" t="str"/>
      <x:c r="R589" s="12" t="str">
        <x:v>quirk: marked</x:v>
      </x:c>
      <x:c r="S589" s="12" t="str">
        <x:v>34cea63efdf4</x:v>
      </x:c>
      <x:c r="T589" s="12" t="n">
        <x:f>COUNTIF($S$2:$S$757,S589)</x:f>
        <x:v>1</x:v>
      </x:c>
      <x:c r="U589" s="12" t="str">
        <x:f>IF(T589=1,"OK","DUPLICATE")</x:f>
        <x:v>OK</x:v>
      </x:c>
    </x:row>
    <x:row r="590" ht="39.599998474121094" hidden="0" customHeight="1">
      <x:c r="A590" s="12" t="str">
        <x:v>Wailing Leg Warmers</x:v>
      </x:c>
      <x:c r="B590" s="12" t="str">
        <x:v>SCREAMING LEG WARMERS</x:v>
      </x:c>
      <x:c r="C590" s="12" t="str">
        <x:v>legs</x:v>
      </x:c>
      <x:c r="D590" s="12" t="str">
        <x:v>armor</x:v>
      </x:c>
      <x:c r="E590" s="12" t="str">
        <x:v>early</x:v>
      </x:c>
      <x:c r="F590" s="12" t="str">
        <x:v>common</x:v>
      </x:c>
      <x:c r="G590" s="12" t="str">
        <x:v>Wailing Leg Warmers — Brace</x:v>
      </x:c>
      <x:c r="H590" s="34" t="n">
        <x:v>1</x:v>
      </x:c>
      <x:c r="I590" s="34" t="str">
        <x:v>skill</x:v>
      </x:c>
      <x:c r="J590" s="34" t="str"/>
      <x:c r="K590" s="34" t="str"/>
      <x:c r="L590" s="34" t="n">
        <x:v>5</x:v>
      </x:c>
      <x:c r="M590" s="12" t="str"/>
      <x:c r="N590" s="12" t="str">
        <x:v>Defensive, Party, WoundCare</x:v>
      </x:c>
      <x:c r="O590" s="12" t="str">
        <x:v>Gain 5 block and Guarded 1. If hit before your next turn, reduce Snared or Panic by 1.</x:v>
      </x:c>
      <x:c r="P590" s="12" t="str">
        <x:v>Gain 5 block and Guarded 1. If the next monster hit lands before your next turn, reduce Snared or Panic by 1 after damage. If you have no Bleed, Poison or Burn, add +1 to all listed values.</x:v>
      </x:c>
      <x:c r="Q590" s="12" t="str"/>
      <x:c r="R590" s="12" t="str">
        <x:v>quirk: cleanHands</x:v>
      </x:c>
      <x:c r="S590" s="12" t="str">
        <x:v>0fba2fc27123</x:v>
      </x:c>
      <x:c r="T590" s="12" t="n">
        <x:f>COUNTIF($S$2:$S$757,S590)</x:f>
        <x:v>1</x:v>
      </x:c>
      <x:c r="U590" s="12" t="str">
        <x:f>IF(T590=1,"OK","DUPLICATE")</x:f>
        <x:v>OK</x:v>
      </x:c>
    </x:row>
    <x:row r="591" ht="39.599998474121094" hidden="0" customHeight="1">
      <x:c r="A591" s="12" t="str">
        <x:v>Wailing Leg Warmers</x:v>
      </x:c>
      <x:c r="B591" s="12" t="str">
        <x:v>SCREAMING LEG WARMERS</x:v>
      </x:c>
      <x:c r="C591" s="12" t="str">
        <x:v>legs</x:v>
      </x:c>
      <x:c r="D591" s="12" t="str">
        <x:v>armor</x:v>
      </x:c>
      <x:c r="E591" s="12" t="str">
        <x:v>early</x:v>
      </x:c>
      <x:c r="F591" s="12" t="str">
        <x:v>common</x:v>
      </x:c>
      <x:c r="G591" s="12" t="str">
        <x:v>Wailing Leg Warmers — Fitted Plate</x:v>
      </x:c>
      <x:c r="H591" s="34" t="n">
        <x:v>2</x:v>
      </x:c>
      <x:c r="I591" s="34" t="str">
        <x:v>reaction</x:v>
      </x:c>
      <x:c r="J591" s="34" t="str"/>
      <x:c r="K591" s="34" t="str"/>
      <x:c r="L591" s="34" t="n">
        <x:v>6</x:v>
      </x:c>
      <x:c r="M591" s="12" t="str"/>
      <x:c r="N591" s="12" t="str">
        <x:v>Defensive, Party, WoundCare, Reaction</x:v>
      </x:c>
      <x:c r="O591" s="12" t="str">
        <x:v>After damage is previewed, prevent 6 damage. Then give the next ally Guarded 1.</x:v>
      </x:c>
      <x:c r="P591" s="12" t="str">
        <x:v>After incoming damage is previewed, prevent 6 damage with the legs slot. Then the next ally gains Guarded 1. If you have no Bleed, Poison or Burn, add +1 to all listed values.</x:v>
      </x:c>
      <x:c r="Q591" s="12" t="str"/>
      <x:c r="R591" s="12" t="str">
        <x:v>quirk: cleanHands</x:v>
      </x:c>
      <x:c r="S591" s="12" t="str">
        <x:v>96b4d5dd58d0</x:v>
      </x:c>
      <x:c r="T591" s="12" t="n">
        <x:f>COUNTIF($S$2:$S$757,S591)</x:f>
        <x:v>1</x:v>
      </x:c>
      <x:c r="U591" s="12" t="str">
        <x:f>IF(T591=1,"OK","DUPLICATE")</x:f>
        <x:v>OK</x:v>
      </x:c>
    </x:row>
    <x:row r="592" ht="39.599998474121094" hidden="0" customHeight="1">
      <x:c r="A592" s="12" t="str">
        <x:v>Wailing Skirt</x:v>
      </x:c>
      <x:c r="B592" s="12" t="str">
        <x:v>SCREAMING SKIRT</x:v>
      </x:c>
      <x:c r="C592" s="12" t="str">
        <x:v>waist</x:v>
      </x:c>
      <x:c r="D592" s="12" t="str">
        <x:v>armor</x:v>
      </x:c>
      <x:c r="E592" s="12" t="str">
        <x:v>early</x:v>
      </x:c>
      <x:c r="F592" s="12" t="str">
        <x:v>common</x:v>
      </x:c>
      <x:c r="G592" s="12" t="str">
        <x:v>Wailing Skirt — Brace</x:v>
      </x:c>
      <x:c r="H592" s="34" t="n">
        <x:v>1</x:v>
      </x:c>
      <x:c r="I592" s="34" t="str">
        <x:v>skill</x:v>
      </x:c>
      <x:c r="J592" s="34" t="str"/>
      <x:c r="K592" s="34" t="str"/>
      <x:c r="L592" s="34" t="n">
        <x:v>2</x:v>
      </x:c>
      <x:c r="M592" s="12" t="str"/>
      <x:c r="N592" s="12" t="str">
        <x:v>Defensive, Party, WoundCare</x:v>
      </x:c>
      <x:c r="O592" s="12" t="str">
        <x:v>Gain 2 block and Guarded 2. If hit before your next turn, reduce Shock or Panic by 1.</x:v>
      </x:c>
      <x:c r="P592" s="12" t="str">
        <x:v>Gain 2 block and Guarded 2. If the next monster hit lands before your next turn, reduce Shock or Panic by 1 after damage. If this would drop you to 0 HP, resolve the card first, then die if still at 0 HP.</x:v>
      </x:c>
      <x:c r="Q592" s="12" t="str"/>
      <x:c r="R592" s="12" t="str">
        <x:v>quirk: lastLight</x:v>
      </x:c>
      <x:c r="S592" s="12" t="str">
        <x:v>2962d27343d4</x:v>
      </x:c>
      <x:c r="T592" s="12" t="n">
        <x:f>COUNTIF($S$2:$S$757,S592)</x:f>
        <x:v>1</x:v>
      </x:c>
      <x:c r="U592" s="12" t="str">
        <x:f>IF(T592=1,"OK","DUPLICATE")</x:f>
        <x:v>OK</x:v>
      </x:c>
    </x:row>
    <x:row r="593" ht="39.599998474121094" hidden="0" customHeight="1">
      <x:c r="A593" s="12" t="str">
        <x:v>Wailing Skirt</x:v>
      </x:c>
      <x:c r="B593" s="12" t="str">
        <x:v>SCREAMING SKIRT</x:v>
      </x:c>
      <x:c r="C593" s="12" t="str">
        <x:v>waist</x:v>
      </x:c>
      <x:c r="D593" s="12" t="str">
        <x:v>armor</x:v>
      </x:c>
      <x:c r="E593" s="12" t="str">
        <x:v>early</x:v>
      </x:c>
      <x:c r="F593" s="12" t="str">
        <x:v>common</x:v>
      </x:c>
      <x:c r="G593" s="12" t="str">
        <x:v>Wailing Skirt — Fitted Plate</x:v>
      </x:c>
      <x:c r="H593" s="34" t="n">
        <x:v>1</x:v>
      </x:c>
      <x:c r="I593" s="34" t="str">
        <x:v>reaction</x:v>
      </x:c>
      <x:c r="J593" s="34" t="str"/>
      <x:c r="K593" s="34" t="str"/>
      <x:c r="L593" s="34" t="n">
        <x:v>4</x:v>
      </x:c>
      <x:c r="M593" s="12" t="str"/>
      <x:c r="N593" s="12" t="str">
        <x:v>Defensive, Party, WoundCare, Reaction</x:v>
      </x:c>
      <x:c r="O593" s="12" t="str">
        <x:v>After damage is previewed, prevent 4 damage. Then give the next ally Guarded 1.</x:v>
      </x:c>
      <x:c r="P593" s="12" t="str">
        <x:v>After incoming damage is previewed, prevent 4 damage with the waist slot. Then the next ally gains Guarded 1. If this would drop you to 0 HP, resolve the card first, then die if still at 0 HP.</x:v>
      </x:c>
      <x:c r="Q593" s="12" t="str"/>
      <x:c r="R593" s="12" t="str">
        <x:v>quirk: lastLight</x:v>
      </x:c>
      <x:c r="S593" s="12" t="str">
        <x:v>0d0f4c466ae7</x:v>
      </x:c>
      <x:c r="T593" s="12" t="n">
        <x:f>COUNTIF($S$2:$S$757,S593)</x:f>
        <x:v>1</x:v>
      </x:c>
      <x:c r="U593" s="12" t="str">
        <x:f>IF(T593=1,"OK","DUPLICATE")</x:f>
        <x:v>OK</x:v>
      </x:c>
    </x:row>
    <x:row r="594" ht="39.599998474121094" hidden="0" customHeight="1">
      <x:c r="A594" s="12" t="str">
        <x:v>Scymitaxe</x:v>
      </x:c>
      <x:c r="B594" s="12" t="str">
        <x:v>SCYMITAXE</x:v>
      </x:c>
      <x:c r="C594" s="12" t="str">
        <x:v>weapon</x:v>
      </x:c>
      <x:c r="D594" s="12" t="str">
        <x:v>axe</x:v>
      </x:c>
      <x:c r="E594" s="12" t="str">
        <x:v>mid</x:v>
      </x:c>
      <x:c r="F594" s="12" t="str">
        <x:v>uncommon</x:v>
      </x:c>
      <x:c r="G594" s="12" t="str">
        <x:v>Scymitaxe — Opening Strike</x:v>
      </x:c>
      <x:c r="H594" s="34" t="n">
        <x:v>1</x:v>
      </x:c>
      <x:c r="I594" s="34" t="str">
        <x:v>attack</x:v>
      </x:c>
      <x:c r="J594" s="34" t="n">
        <x:v>6</x:v>
      </x:c>
      <x:c r="K594" s="34" t="n">
        <x:v>4</x:v>
      </x:c>
      <x:c r="L594" s="34" t="str"/>
      <x:c r="M594" s="12" t="str">
        <x:v>Blind 3 | Target: Spurkulese</x:v>
      </x:c>
      <x:c r="N594" s="12" t="str">
        <x:v>Heavy, Brutal, Harvest, Attack</x:v>
      </x:c>
      <x:c r="O594" s="12" t="str">
        <x:v>Deal 6 damage. Apply Blind 3 if the target has a Spurkulese weak point, otherwise gain Marked 1.</x:v>
      </x:c>
      <x:c r="P594" s="12" t="str">
        <x:v>Deal 6 damage with Scymitaxe. Apply Blind 3 against a matching Spurkulese weak point; otherwise apply Marked 1. The quarry targets this survivor next unless another card redirects it.</x:v>
      </x:c>
      <x:c r="Q594" s="12" t="str"/>
      <x:c r="R594" s="12" t="str">
        <x:v>quirk: bait</x:v>
      </x:c>
      <x:c r="S594" s="12" t="str">
        <x:v>211e70445859</x:v>
      </x:c>
      <x:c r="T594" s="12" t="n">
        <x:f>COUNTIF($S$2:$S$757,S594)</x:f>
        <x:v>1</x:v>
      </x:c>
      <x:c r="U594" s="12" t="str">
        <x:f>IF(T594=1,"OK","DUPLICATE")</x:f>
        <x:v>OK</x:v>
      </x:c>
    </x:row>
    <x:row r="595" ht="39.599998474121094" hidden="0" customHeight="1">
      <x:c r="A595" s="12" t="str">
        <x:v>Scymitaxe</x:v>
      </x:c>
      <x:c r="B595" s="12" t="str">
        <x:v>SCYMITAXE</x:v>
      </x:c>
      <x:c r="C595" s="12" t="str">
        <x:v>weapon</x:v>
      </x:c>
      <x:c r="D595" s="12" t="str">
        <x:v>axe</x:v>
      </x:c>
      <x:c r="E595" s="12" t="str">
        <x:v>mid</x:v>
      </x:c>
      <x:c r="F595" s="12" t="str">
        <x:v>uncommon</x:v>
      </x:c>
      <x:c r="G595" s="12" t="str">
        <x:v>Scymitaxe — Technique</x:v>
      </x:c>
      <x:c r="H595" s="34" t="n">
        <x:v>3</x:v>
      </x:c>
      <x:c r="I595" s="34" t="str">
        <x:v>skill</x:v>
      </x:c>
      <x:c r="J595" s="34" t="str"/>
      <x:c r="K595" s="34" t="str"/>
      <x:c r="L595" s="34" t="n">
        <x:v>4</x:v>
      </x:c>
      <x:c r="M595" s="12" t="str">
        <x:v>Opens: True</x:v>
      </x:c>
      <x:c r="N595" s="12" t="str">
        <x:v>Heavy, Brutal, Harvest, Setup</x:v>
      </x:c>
      <x:c r="O595" s="12" t="str">
        <x:v>Commit to a heavy chop; +3 break damage but failed fragile harvests worsen by one step. Also gain 4 block.</x:v>
      </x:c>
      <x:c r="P595" s="12" t="str">
        <x:v>Commit to a heavy chop; +3 break damage but failed fragile harvests worsen by one step. Gain 4 block. The quarry targets this survivor next unless another card redirects it.</x:v>
      </x:c>
      <x:c r="Q595" s="12" t="str"/>
      <x:c r="R595" s="12" t="str">
        <x:v>quirk: bait</x:v>
      </x:c>
      <x:c r="S595" s="12" t="str">
        <x:v>18ad0768eb81</x:v>
      </x:c>
      <x:c r="T595" s="12" t="n">
        <x:f>COUNTIF($S$2:$S$757,S595)</x:f>
        <x:v>1</x:v>
      </x:c>
      <x:c r="U595" s="12" t="str">
        <x:f>IF(T595=1,"OK","DUPLICATE")</x:f>
        <x:v>OK</x:v>
      </x:c>
    </x:row>
    <x:row r="596" ht="26.399999618530273" hidden="0" customHeight="1">
      <x:c r="A596" s="12" t="str">
        <x:v>Scymitaxe</x:v>
      </x:c>
      <x:c r="B596" s="12" t="str">
        <x:v>SCYMITAXE</x:v>
      </x:c>
      <x:c r="C596" s="12" t="str">
        <x:v>weapon</x:v>
      </x:c>
      <x:c r="D596" s="12" t="str">
        <x:v>axe</x:v>
      </x:c>
      <x:c r="E596" s="12" t="str">
        <x:v>mid</x:v>
      </x:c>
      <x:c r="F596" s="12" t="str">
        <x:v>uncommon</x:v>
      </x:c>
      <x:c r="G596" s="12" t="str">
        <x:v>Scymitaxe — Payoff</x:v>
      </x:c>
      <x:c r="H596" s="34" t="n">
        <x:v>3</x:v>
      </x:c>
      <x:c r="I596" s="34" t="str">
        <x:v>attack</x:v>
      </x:c>
      <x:c r="J596" s="34" t="n">
        <x:v>8</x:v>
      </x:c>
      <x:c r="K596" s="34" t="n">
        <x:v>5</x:v>
      </x:c>
      <x:c r="L596" s="34" t="str"/>
      <x:c r="M596" s="12" t="str">
        <x:v>Blind 2</x:v>
      </x:c>
      <x:c r="N596" s="12" t="str">
        <x:v>Heavy, Brutal, Harvest, Payoff, WeakPoint</x:v>
      </x:c>
      <x:c r="O596" s="12" t="str">
        <x:v>Deal 8 damage and 5 break damage. If this breaks a weak point, resolve Blind 2 and the bait rider.</x:v>
      </x:c>
      <x:c r="P596" s="12" t="str">
        <x:v>Deal 8 damage and 5 break damage. If the weak point breaks, apply Blind 2 and resolve: The quarry targets this survivor next unless another card redirects it.</x:v>
      </x:c>
      <x:c r="Q596" s="12" t="str"/>
      <x:c r="R596" s="12" t="str">
        <x:v>quirk: bait | countsAsCounter False, firstCounterFree False</x:v>
      </x:c>
      <x:c r="S596" s="12" t="str">
        <x:v>ebce793ef2cb</x:v>
      </x:c>
      <x:c r="T596" s="12" t="n">
        <x:f>COUNTIF($S$2:$S$757,S596)</x:f>
        <x:v>1</x:v>
      </x:c>
      <x:c r="U596" s="12" t="str">
        <x:f>IF(T596=1,"OK","DUPLICATE")</x:f>
        <x:v>OK</x:v>
      </x:c>
    </x:row>
    <x:row r="597" ht="39.599998474121094" hidden="0" customHeight="1">
      <x:c r="A597" s="12" t="str">
        <x:v>Seasoned Monster Meat</x:v>
      </x:c>
      <x:c r="B597" s="12" t="str">
        <x:v>SEASONED MONSTER MEAT</x:v>
      </x:c>
      <x:c r="C597" s="12" t="str">
        <x:v>tool</x:v>
      </x:c>
      <x:c r="D597" s="12" t="str">
        <x:v>tool</x:v>
      </x:c>
      <x:c r="E597" s="12" t="str">
        <x:v>mid</x:v>
      </x:c>
      <x:c r="F597" s="12" t="str">
        <x:v>uncommon</x:v>
      </x:c>
      <x:c r="G597" s="12" t="str">
        <x:v>Seasoned Monster Meat — Use</x:v>
      </x:c>
      <x:c r="H597" s="34" t="n">
        <x:v>0</x:v>
      </x:c>
      <x:c r="I597" s="34" t="str">
        <x:v>skill</x:v>
      </x:c>
      <x:c r="J597" s="34" t="str"/>
      <x:c r="K597" s="34" t="str"/>
      <x:c r="L597" s="34" t="str"/>
      <x:c r="M597" s="12" t="str">
        <x:v>Shock 1</x:v>
      </x:c>
      <x:c r="N597" s="12" t="str">
        <x:v>Tool, Harvest, Retreat</x:v>
      </x:c>
      <x:c r="O597" s="12" t="str">
        <x:v>Gain +2 to the next harvest, retreat, or weak-point test. If it fails, apply Shock 1 to the quarry or clear it from a survivor.</x:v>
      </x:c>
      <x:c r="P597" s="12" t="str">
        <x:v>Gain +2 to the next harvest, retreat, or weak-point test linked to Wet Resin Crafter. On failure, either apply Shock 1 to the quarry or clear that status from a survivor. You may gain Panic 1 to increase the listed number by 2.</x:v>
      </x:c>
      <x:c r="Q597" s="12" t="str"/>
      <x:c r="R597" s="12" t="str">
        <x:v>quirk: panicBrake</x:v>
      </x:c>
      <x:c r="S597" s="12" t="str">
        <x:v>5aecdd4a671e</x:v>
      </x:c>
      <x:c r="T597" s="12" t="n">
        <x:f>COUNTIF($S$2:$S$757,S597)</x:f>
        <x:v>1</x:v>
      </x:c>
      <x:c r="U597" s="12" t="str">
        <x:f>IF(T597=1,"OK","DUPLICATE")</x:f>
        <x:v>OK</x:v>
      </x:c>
    </x:row>
    <x:row r="598" ht="39.599998474121094" hidden="0" customHeight="1">
      <x:c r="A598" s="12" t="str">
        <x:v>Seasoned Monster Meat</x:v>
      </x:c>
      <x:c r="B598" s="12" t="str">
        <x:v>SEASONED MONSTER MEAT</x:v>
      </x:c>
      <x:c r="C598" s="12" t="str">
        <x:v>tool</x:v>
      </x:c>
      <x:c r="D598" s="12" t="str">
        <x:v>tool</x:v>
      </x:c>
      <x:c r="E598" s="12" t="str">
        <x:v>mid</x:v>
      </x:c>
      <x:c r="F598" s="12" t="str">
        <x:v>uncommon</x:v>
      </x:c>
      <x:c r="G598" s="12" t="str">
        <x:v>Seasoned Monster Meat — Contingency</x:v>
      </x:c>
      <x:c r="H598" s="34" t="n">
        <x:v>1</x:v>
      </x:c>
      <x:c r="I598" s="34" t="str">
        <x:v>reaction</x:v>
      </x:c>
      <x:c r="J598" s="34" t="str"/>
      <x:c r="K598" s="34" t="str"/>
      <x:c r="L598" s="34" t="str"/>
      <x:c r="M598" s="12" t="str"/>
      <x:c r="N598" s="12" t="str">
        <x:v>Tool, Harvest, Retreat</x:v>
      </x:c>
      <x:c r="O598" s="12" t="str">
        <x:v>When a hunt or monster consequence is previewed, reduce it by 2; on retreat, preserve 1 gathered resource.</x:v>
      </x:c>
      <x:c r="P598" s="12" t="str">
        <x:v>When a hunt event, retreat roll, or monster consequence is previewed, reduce the penalty by 2. If retreating, preserve 1 gathered resource. You may gain Panic 1 to increase the listed number by 2.</x:v>
      </x:c>
      <x:c r="Q598" s="12" t="str"/>
      <x:c r="R598" s="12" t="str">
        <x:v>quirk: panicBrake</x:v>
      </x:c>
      <x:c r="S598" s="12" t="str">
        <x:v>cf4e24e3b5f2</x:v>
      </x:c>
      <x:c r="T598" s="12" t="n">
        <x:f>COUNTIF($S$2:$S$757,S598)</x:f>
        <x:v>1</x:v>
      </x:c>
      <x:c r="U598" s="12" t="str">
        <x:f>IF(T598=1,"OK","DUPLICATE")</x:f>
        <x:v>OK</x:v>
      </x:c>
    </x:row>
    <x:row r="599" ht="39.599998474121094" hidden="0" customHeight="1">
      <x:c r="A599" s="12" t="str">
        <x:v>Shadow Fur Treads</x:v>
      </x:c>
      <x:c r="B599" s="12" t="str">
        <x:v>SHADOW FUR BOOTS</x:v>
      </x:c>
      <x:c r="C599" s="12" t="str">
        <x:v>legs</x:v>
      </x:c>
      <x:c r="D599" s="12" t="str">
        <x:v>armor</x:v>
      </x:c>
      <x:c r="E599" s="12" t="str">
        <x:v>early</x:v>
      </x:c>
      <x:c r="F599" s="12" t="str">
        <x:v>uncommon</x:v>
      </x:c>
      <x:c r="G599" s="12" t="str">
        <x:v>Shadow Fur Treads — Brace</x:v>
      </x:c>
      <x:c r="H599" s="34" t="n">
        <x:v>1</x:v>
      </x:c>
      <x:c r="I599" s="34" t="str">
        <x:v>skill</x:v>
      </x:c>
      <x:c r="J599" s="34" t="str"/>
      <x:c r="K599" s="34" t="str"/>
      <x:c r="L599" s="34" t="n">
        <x:v>6</x:v>
      </x:c>
      <x:c r="M599" s="12" t="str"/>
      <x:c r="N599" s="12" t="str">
        <x:v>Defensive, Party, WoundCare</x:v>
      </x:c>
      <x:c r="O599" s="12" t="str">
        <x:v>gain 6 block and Guarded 2. If hit before your next turn, reduce Bleed or Panic by 1.</x:v>
      </x:c>
      <x:c r="P599" s="12" t="str">
        <x:v>gain 6 block and Guarded 2. If the next monster hit lands before your next turn, reduce Bleed or Panic by 1 after damage. If the quarry is below half HP, add +1 break damage.</x:v>
      </x:c>
      <x:c r="Q599" s="12" t="str"/>
      <x:c r="R599" s="12" t="str">
        <x:v>quirk: bloodied</x:v>
      </x:c>
      <x:c r="S599" s="12" t="str">
        <x:v>243a07c68b71</x:v>
      </x:c>
      <x:c r="T599" s="12" t="n">
        <x:f>COUNTIF($S$2:$S$757,S599)</x:f>
        <x:v>1</x:v>
      </x:c>
      <x:c r="U599" s="12" t="str">
        <x:f>IF(T599=1,"OK","DUPLICATE")</x:f>
        <x:v>OK</x:v>
      </x:c>
    </x:row>
    <x:row r="600" ht="26.399999618530273" hidden="0" customHeight="1">
      <x:c r="A600" s="12" t="str">
        <x:v>Shadow Fur Treads</x:v>
      </x:c>
      <x:c r="B600" s="12" t="str">
        <x:v>SHADOW FUR BOOTS</x:v>
      </x:c>
      <x:c r="C600" s="12" t="str">
        <x:v>legs</x:v>
      </x:c>
      <x:c r="D600" s="12" t="str">
        <x:v>armor</x:v>
      </x:c>
      <x:c r="E600" s="12" t="str">
        <x:v>early</x:v>
      </x:c>
      <x:c r="F600" s="12" t="str">
        <x:v>uncommon</x:v>
      </x:c>
      <x:c r="G600" s="12" t="str">
        <x:v>Shadow Fur Treads — Fitted Plate</x:v>
      </x:c>
      <x:c r="H600" s="34" t="n">
        <x:v>2</x:v>
      </x:c>
      <x:c r="I600" s="34" t="str">
        <x:v>reaction</x:v>
      </x:c>
      <x:c r="J600" s="34" t="str"/>
      <x:c r="K600" s="34" t="str"/>
      <x:c r="L600" s="34" t="n">
        <x:v>7</x:v>
      </x:c>
      <x:c r="M600" s="12" t="str"/>
      <x:c r="N600" s="12" t="str">
        <x:v>Defensive, Party, WoundCare, Reaction</x:v>
      </x:c>
      <x:c r="O600" s="12" t="str">
        <x:v>After damage is previewed, prevent 7 damage. Then give the next ally Guarded 1.</x:v>
      </x:c>
      <x:c r="P600" s="12" t="str">
        <x:v>After incoming damage is previewed, prevent 7 damage with the legs slot. Then the next ally gains Guarded 1. If the quarry is below half HP, add +1 break damage.</x:v>
      </x:c>
      <x:c r="Q600" s="12" t="str"/>
      <x:c r="R600" s="12" t="str">
        <x:v>quirk: bloodied</x:v>
      </x:c>
      <x:c r="S600" s="12" t="str">
        <x:v>26c507c5d657</x:v>
      </x:c>
      <x:c r="T600" s="12" t="n">
        <x:f>COUNTIF($S$2:$S$757,S600)</x:f>
        <x:v>1</x:v>
      </x:c>
      <x:c r="U600" s="12" t="str">
        <x:f>IF(T600=1,"OK","DUPLICATE")</x:f>
        <x:v>OK</x:v>
      </x:c>
    </x:row>
    <x:row r="601" ht="39.599998474121094" hidden="0" customHeight="1">
      <x:c r="A601" s="12" t="str">
        <x:v>Shadow Fur Coat</x:v>
      </x:c>
      <x:c r="B601" s="12" t="str">
        <x:v>SHADOW FUR COAT</x:v>
      </x:c>
      <x:c r="C601" s="12" t="str">
        <x:v>body</x:v>
      </x:c>
      <x:c r="D601" s="12" t="str">
        <x:v>armor</x:v>
      </x:c>
      <x:c r="E601" s="12" t="str">
        <x:v>early</x:v>
      </x:c>
      <x:c r="F601" s="12" t="str">
        <x:v>uncommon</x:v>
      </x:c>
      <x:c r="G601" s="12" t="str">
        <x:v>Shadow Fur Coat — Brace</x:v>
      </x:c>
      <x:c r="H601" s="34" t="n">
        <x:v>1</x:v>
      </x:c>
      <x:c r="I601" s="34" t="str">
        <x:v>skill</x:v>
      </x:c>
      <x:c r="J601" s="34" t="str"/>
      <x:c r="K601" s="34" t="str"/>
      <x:c r="L601" s="34" t="n">
        <x:v>2</x:v>
      </x:c>
      <x:c r="M601" s="12" t="str"/>
      <x:c r="N601" s="12" t="str">
        <x:v>Defensive, Party, WoundCare</x:v>
      </x:c>
      <x:c r="O601" s="12" t="str">
        <x:v>Gain 2 block and Guarded 3. If hit before your next turn, reduce Bleed or Panic by 1.</x:v>
      </x:c>
      <x:c r="P601" s="12" t="str">
        <x:v>Gain 2 block and Guarded 3. If the next monster hit lands before your next turn, reduce Bleed or Panic by 1 after damage. If the quarry is Marked, draw 1 then discard 1.</x:v>
      </x:c>
      <x:c r="Q601" s="12" t="str"/>
      <x:c r="R601" s="12" t="str">
        <x:v>quirk: marked</x:v>
      </x:c>
      <x:c r="S601" s="12" t="str">
        <x:v>c8cb1cca7831</x:v>
      </x:c>
      <x:c r="T601" s="12" t="n">
        <x:f>COUNTIF($S$2:$S$757,S601)</x:f>
        <x:v>1</x:v>
      </x:c>
      <x:c r="U601" s="12" t="str">
        <x:f>IF(T601=1,"OK","DUPLICATE")</x:f>
        <x:v>OK</x:v>
      </x:c>
    </x:row>
    <x:row r="602" ht="26.399999618530273" hidden="0" customHeight="1">
      <x:c r="A602" s="12" t="str">
        <x:v>Shadow Fur Coat</x:v>
      </x:c>
      <x:c r="B602" s="12" t="str">
        <x:v>SHADOW FUR COAT</x:v>
      </x:c>
      <x:c r="C602" s="12" t="str">
        <x:v>body</x:v>
      </x:c>
      <x:c r="D602" s="12" t="str">
        <x:v>armor</x:v>
      </x:c>
      <x:c r="E602" s="12" t="str">
        <x:v>early</x:v>
      </x:c>
      <x:c r="F602" s="12" t="str">
        <x:v>uncommon</x:v>
      </x:c>
      <x:c r="G602" s="12" t="str">
        <x:v>Shadow Fur Coat — Fitted Plate</x:v>
      </x:c>
      <x:c r="H602" s="34" t="n">
        <x:v>1</x:v>
      </x:c>
      <x:c r="I602" s="34" t="str">
        <x:v>reaction</x:v>
      </x:c>
      <x:c r="J602" s="34" t="str"/>
      <x:c r="K602" s="34" t="str"/>
      <x:c r="L602" s="34" t="n">
        <x:v>5</x:v>
      </x:c>
      <x:c r="M602" s="12" t="str"/>
      <x:c r="N602" s="12" t="str">
        <x:v>Defensive, Party, WoundCare, Reaction</x:v>
      </x:c>
      <x:c r="O602" s="12" t="str">
        <x:v>After damage is previewed, prevent 5 damage. Then give the next ally Guarded 1.</x:v>
      </x:c>
      <x:c r="P602" s="12" t="str">
        <x:v>After incoming damage is previewed, prevent 5 damage with the body slot. Then the next ally gains Guarded 1. If the quarry is Marked, draw 1 then discard 1.</x:v>
      </x:c>
      <x:c r="Q602" s="12" t="str"/>
      <x:c r="R602" s="12" t="str">
        <x:v>quirk: marked</x:v>
      </x:c>
      <x:c r="S602" s="12" t="str">
        <x:v>3a85f8e65c90</x:v>
      </x:c>
      <x:c r="T602" s="12" t="n">
        <x:f>COUNTIF($S$2:$S$757,S602)</x:f>
        <x:v>1</x:v>
      </x:c>
      <x:c r="U602" s="12" t="str">
        <x:f>IF(T602=1,"OK","DUPLICATE")</x:f>
        <x:v>OK</x:v>
      </x:c>
    </x:row>
    <x:row r="603" ht="39.599998474121094" hidden="0" customHeight="1">
      <x:c r="A603" s="12" t="str">
        <x:v>Shadow Fur Gloves</x:v>
      </x:c>
      <x:c r="B603" s="12" t="str">
        <x:v>SHADOW FUR GLOVES</x:v>
      </x:c>
      <x:c r="C603" s="12" t="str">
        <x:v>arms</x:v>
      </x:c>
      <x:c r="D603" s="12" t="str">
        <x:v>armor</x:v>
      </x:c>
      <x:c r="E603" s="12" t="str">
        <x:v>early</x:v>
      </x:c>
      <x:c r="F603" s="12" t="str">
        <x:v>uncommon</x:v>
      </x:c>
      <x:c r="G603" s="12" t="str">
        <x:v>Shadow Fur Gloves — Brace</x:v>
      </x:c>
      <x:c r="H603" s="34" t="n">
        <x:v>1</x:v>
      </x:c>
      <x:c r="I603" s="34" t="str">
        <x:v>skill</x:v>
      </x:c>
      <x:c r="J603" s="34" t="str"/>
      <x:c r="K603" s="34" t="str"/>
      <x:c r="L603" s="34" t="n">
        <x:v>3</x:v>
      </x:c>
      <x:c r="M603" s="12" t="str"/>
      <x:c r="N603" s="12" t="str">
        <x:v>Defensive, Party, WoundCare</x:v>
      </x:c>
      <x:c r="O603" s="12" t="str">
        <x:v>Gain 3 block and Guarded 1. If hit before your next turn, reduce Bleed or Panic by 1.</x:v>
      </x:c>
      <x:c r="P603" s="12" t="str">
        <x:v>Gain 3 block and Guarded 1. If the next monster hit lands before your next turn, reduce Bleed or Panic by 1 after damage. If you have Guarded, convert 1 Guarded into +2 damage.</x:v>
      </x:c>
      <x:c r="Q603" s="12" t="str"/>
      <x:c r="R603" s="12" t="str">
        <x:v>quirk: guarded</x:v>
      </x:c>
      <x:c r="S603" s="12" t="str">
        <x:v>0b39fff92a22</x:v>
      </x:c>
      <x:c r="T603" s="12" t="n">
        <x:f>COUNTIF($S$2:$S$757,S603)</x:f>
        <x:v>1</x:v>
      </x:c>
      <x:c r="U603" s="12" t="str">
        <x:f>IF(T603=1,"OK","DUPLICATE")</x:f>
        <x:v>OK</x:v>
      </x:c>
    </x:row>
    <x:row r="604" ht="39.599998474121094" hidden="0" customHeight="1">
      <x:c r="A604" s="12" t="str">
        <x:v>Shadow Fur Gloves</x:v>
      </x:c>
      <x:c r="B604" s="12" t="str">
        <x:v>SHADOW FUR GLOVES</x:v>
      </x:c>
      <x:c r="C604" s="12" t="str">
        <x:v>arms</x:v>
      </x:c>
      <x:c r="D604" s="12" t="str">
        <x:v>armor</x:v>
      </x:c>
      <x:c r="E604" s="12" t="str">
        <x:v>early</x:v>
      </x:c>
      <x:c r="F604" s="12" t="str">
        <x:v>uncommon</x:v>
      </x:c>
      <x:c r="G604" s="12" t="str">
        <x:v>Shadow Fur Gloves — Fitted Plate</x:v>
      </x:c>
      <x:c r="H604" s="34" t="n">
        <x:v>2</x:v>
      </x:c>
      <x:c r="I604" s="34" t="str">
        <x:v>reaction</x:v>
      </x:c>
      <x:c r="J604" s="34" t="str"/>
      <x:c r="K604" s="34" t="str"/>
      <x:c r="L604" s="34" t="n">
        <x:v>4</x:v>
      </x:c>
      <x:c r="M604" s="12" t="str"/>
      <x:c r="N604" s="12" t="str">
        <x:v>Defensive, Party, WoundCare, Reaction</x:v>
      </x:c>
      <x:c r="O604" s="12" t="str">
        <x:v>After damage is previewed, prevent 4 damage. Then give the next ally Guarded 1.</x:v>
      </x:c>
      <x:c r="P604" s="12" t="str">
        <x:v>After incoming damage is previewed, prevent 4 damage with the arms slot. Then the next ally gains Guarded 1. If you have Guarded, convert 1 Guarded into +2 damage.</x:v>
      </x:c>
      <x:c r="Q604" s="12" t="str"/>
      <x:c r="R604" s="12" t="str">
        <x:v>quirk: guarded</x:v>
      </x:c>
      <x:c r="S604" s="12" t="str">
        <x:v>4d6fcb7afb99</x:v>
      </x:c>
      <x:c r="T604" s="12" t="n">
        <x:f>COUNTIF($S$2:$S$757,S604)</x:f>
        <x:v>1</x:v>
      </x:c>
      <x:c r="U604" s="12" t="str">
        <x:f>IF(T604=1,"OK","DUPLICATE")</x:f>
        <x:v>OK</x:v>
      </x:c>
    </x:row>
    <x:row r="605" ht="39.599998474121094" hidden="0" customHeight="1">
      <x:c r="A605" s="12" t="str">
        <x:v>Shadow Fur Crown</x:v>
      </x:c>
      <x:c r="B605" s="12" t="str">
        <x:v>SHADOW FUR HELM</x:v>
      </x:c>
      <x:c r="C605" s="12" t="str">
        <x:v>head</x:v>
      </x:c>
      <x:c r="D605" s="12" t="str">
        <x:v>armor</x:v>
      </x:c>
      <x:c r="E605" s="12" t="str">
        <x:v>early</x:v>
      </x:c>
      <x:c r="F605" s="12" t="str">
        <x:v>uncommon</x:v>
      </x:c>
      <x:c r="G605" s="12" t="str">
        <x:v>Shadow Fur Crown — Brace</x:v>
      </x:c>
      <x:c r="H605" s="34" t="n">
        <x:v>1</x:v>
      </x:c>
      <x:c r="I605" s="34" t="str">
        <x:v>skill</x:v>
      </x:c>
      <x:c r="J605" s="34" t="str"/>
      <x:c r="K605" s="34" t="str"/>
      <x:c r="L605" s="34" t="n">
        <x:v>4</x:v>
      </x:c>
      <x:c r="M605" s="12" t="str"/>
      <x:c r="N605" s="12" t="str">
        <x:v>Defensive, Party, WoundCare</x:v>
      </x:c>
      <x:c r="O605" s="12" t="str">
        <x:v>Gain 4 block and Guarded 2. If hit before your next turn, reduce Bleed or Panic by 1.</x:v>
      </x:c>
      <x:c r="P605" s="12" t="str">
        <x:v>Gain 4 block and Guarded 2. If the next monster hit lands before your next turn, reduce Bleed or Panic by 1 after damage. If you have any wound, add +1 damage but gain Panic 1.</x:v>
      </x:c>
      <x:c r="Q605" s="12" t="str"/>
      <x:c r="R605" s="12" t="str">
        <x:v>quirk: wounded</x:v>
      </x:c>
      <x:c r="S605" s="12" t="str">
        <x:v>86cddb8c40cd</x:v>
      </x:c>
      <x:c r="T605" s="12" t="n">
        <x:f>COUNTIF($S$2:$S$757,S605)</x:f>
        <x:v>1</x:v>
      </x:c>
      <x:c r="U605" s="12" t="str">
        <x:f>IF(T605=1,"OK","DUPLICATE")</x:f>
        <x:v>OK</x:v>
      </x:c>
    </x:row>
    <x:row r="606" ht="39.599998474121094" hidden="0" customHeight="1">
      <x:c r="A606" s="12" t="str">
        <x:v>Shadow Fur Crown</x:v>
      </x:c>
      <x:c r="B606" s="12" t="str">
        <x:v>SHADOW FUR HELM</x:v>
      </x:c>
      <x:c r="C606" s="12" t="str">
        <x:v>head</x:v>
      </x:c>
      <x:c r="D606" s="12" t="str">
        <x:v>armor</x:v>
      </x:c>
      <x:c r="E606" s="12" t="str">
        <x:v>early</x:v>
      </x:c>
      <x:c r="F606" s="12" t="str">
        <x:v>uncommon</x:v>
      </x:c>
      <x:c r="G606" s="12" t="str">
        <x:v>Shadow Fur Crown — Fitted Plate</x:v>
      </x:c>
      <x:c r="H606" s="34" t="n">
        <x:v>1</x:v>
      </x:c>
      <x:c r="I606" s="34" t="str">
        <x:v>reaction</x:v>
      </x:c>
      <x:c r="J606" s="34" t="str"/>
      <x:c r="K606" s="34" t="str"/>
      <x:c r="L606" s="34" t="n">
        <x:v>6</x:v>
      </x:c>
      <x:c r="M606" s="12" t="str"/>
      <x:c r="N606" s="12" t="str">
        <x:v>Defensive, Party, WoundCare, Reaction</x:v>
      </x:c>
      <x:c r="O606" s="12" t="str">
        <x:v>After damage is previewed, prevent 6 damage. Then give the next ally Guarded 1.</x:v>
      </x:c>
      <x:c r="P606" s="12" t="str">
        <x:v>After incoming damage is previewed, prevent 6 damage with the head slot. Then the next ally gains Guarded 1. If you have any wound, add +1 damage but gain Panic 1.</x:v>
      </x:c>
      <x:c r="Q606" s="12" t="str"/>
      <x:c r="R606" s="12" t="str">
        <x:v>quirk: wounded</x:v>
      </x:c>
      <x:c r="S606" s="12" t="str">
        <x:v>0c8a6eacdca1</x:v>
      </x:c>
      <x:c r="T606" s="12" t="n">
        <x:f>COUNTIF($S$2:$S$757,S606)</x:f>
        <x:v>1</x:v>
      </x:c>
      <x:c r="U606" s="12" t="str">
        <x:f>IF(T606=1,"OK","DUPLICATE")</x:f>
        <x:v>OK</x:v>
      </x:c>
    </x:row>
    <x:row r="607" ht="39.599998474121094" hidden="0" customHeight="1">
      <x:c r="A607" s="12" t="str">
        <x:v>Shadow Fur Kilt</x:v>
      </x:c>
      <x:c r="B607" s="12" t="str">
        <x:v>SHADOW FUR KILT</x:v>
      </x:c>
      <x:c r="C607" s="12" t="str">
        <x:v>waist</x:v>
      </x:c>
      <x:c r="D607" s="12" t="str">
        <x:v>armor</x:v>
      </x:c>
      <x:c r="E607" s="12" t="str">
        <x:v>early</x:v>
      </x:c>
      <x:c r="F607" s="12" t="str">
        <x:v>uncommon</x:v>
      </x:c>
      <x:c r="G607" s="12" t="str">
        <x:v>Shadow Fur Kilt — Brace</x:v>
      </x:c>
      <x:c r="H607" s="34" t="n">
        <x:v>1</x:v>
      </x:c>
      <x:c r="I607" s="34" t="str">
        <x:v>skill</x:v>
      </x:c>
      <x:c r="J607" s="34" t="str"/>
      <x:c r="K607" s="34" t="str"/>
      <x:c r="L607" s="34" t="n">
        <x:v>5</x:v>
      </x:c>
      <x:c r="M607" s="12" t="str"/>
      <x:c r="N607" s="12" t="str">
        <x:v>Defensive, Party, WoundCare</x:v>
      </x:c>
      <x:c r="O607" s="12" t="str">
        <x:v>Gain 5 block and Guarded 3. If hit before your next turn, reduce Bleed or Panic by 1.</x:v>
      </x:c>
      <x:c r="P607" s="12" t="str">
        <x:v>Gain 5 block and Guarded 3. If the next monster hit lands before your next turn, reduce Bleed or Panic by 1 after damage. If this breaks a weak point, improve harvest quality by one step unless it is already Clean.</x:v>
      </x:c>
      <x:c r="Q607" s="12" t="str"/>
      <x:c r="R607" s="12" t="str">
        <x:v>quirk: harvest</x:v>
      </x:c>
      <x:c r="S607" s="12" t="str">
        <x:v>d407d6777739</x:v>
      </x:c>
      <x:c r="T607" s="12" t="n">
        <x:f>COUNTIF($S$2:$S$757,S607)</x:f>
        <x:v>1</x:v>
      </x:c>
      <x:c r="U607" s="12" t="str">
        <x:f>IF(T607=1,"OK","DUPLICATE")</x:f>
        <x:v>OK</x:v>
      </x:c>
    </x:row>
    <x:row r="608" ht="39.599998474121094" hidden="0" customHeight="1">
      <x:c r="A608" s="12" t="str">
        <x:v>Shadow Fur Kilt</x:v>
      </x:c>
      <x:c r="B608" s="12" t="str">
        <x:v>SHADOW FUR KILT</x:v>
      </x:c>
      <x:c r="C608" s="12" t="str">
        <x:v>waist</x:v>
      </x:c>
      <x:c r="D608" s="12" t="str">
        <x:v>armor</x:v>
      </x:c>
      <x:c r="E608" s="12" t="str">
        <x:v>early</x:v>
      </x:c>
      <x:c r="F608" s="12" t="str">
        <x:v>uncommon</x:v>
      </x:c>
      <x:c r="G608" s="12" t="str">
        <x:v>Shadow Fur Kilt — Fitted Plate</x:v>
      </x:c>
      <x:c r="H608" s="34" t="n">
        <x:v>2</x:v>
      </x:c>
      <x:c r="I608" s="34" t="str">
        <x:v>reaction</x:v>
      </x:c>
      <x:c r="J608" s="34" t="str"/>
      <x:c r="K608" s="34" t="str"/>
      <x:c r="L608" s="34" t="n">
        <x:v>8</x:v>
      </x:c>
      <x:c r="M608" s="12" t="str"/>
      <x:c r="N608" s="12" t="str">
        <x:v>Defensive, Party, WoundCare, Reaction</x:v>
      </x:c>
      <x:c r="O608" s="12" t="str">
        <x:v>After damage is previewed, prevent 8 damage. Then give the next ally Guarded 1.</x:v>
      </x:c>
      <x:c r="P608" s="12" t="str">
        <x:v>After incoming damage is previewed, prevent 8 damage with the waist slot. Then the next ally gains Guarded 1. If this breaks a weak point, improve harvest quality by one step unless it is already Clean.</x:v>
      </x:c>
      <x:c r="Q608" s="12" t="str"/>
      <x:c r="R608" s="12" t="str">
        <x:v>quirk: harvest</x:v>
      </x:c>
      <x:c r="S608" s="12" t="str">
        <x:v>3c3e813aea0a</x:v>
      </x:c>
      <x:c r="T608" s="12" t="n">
        <x:f>COUNTIF($S$2:$S$757,S608)</x:f>
        <x:v>1</x:v>
      </x:c>
      <x:c r="U608" s="12" t="str">
        <x:f>IF(T608=1,"OK","DUPLICATE")</x:f>
        <x:v>OK</x:v>
      </x:c>
    </x:row>
    <x:row r="609" ht="39.599998474121094" hidden="0" customHeight="1">
      <x:c r="A609" s="12" t="str">
        <x:v>Shadow Saliva Shawl</x:v>
      </x:c>
      <x:c r="B609" s="12" t="str">
        <x:v>SHADOW SALIVA SHAWL</x:v>
      </x:c>
      <x:c r="C609" s="12" t="str">
        <x:v>tool</x:v>
      </x:c>
      <x:c r="D609" s="12" t="str">
        <x:v>tool</x:v>
      </x:c>
      <x:c r="E609" s="12" t="str">
        <x:v>mid</x:v>
      </x:c>
      <x:c r="F609" s="12" t="str">
        <x:v>uncommon</x:v>
      </x:c>
      <x:c r="G609" s="12" t="str">
        <x:v>Shadow Saliva Shawl — Use</x:v>
      </x:c>
      <x:c r="H609" s="34" t="n">
        <x:v>1</x:v>
      </x:c>
      <x:c r="I609" s="34" t="str">
        <x:v>skill</x:v>
      </x:c>
      <x:c r="J609" s="34" t="str"/>
      <x:c r="K609" s="34" t="str"/>
      <x:c r="L609" s="34" t="str"/>
      <x:c r="M609" s="12" t="str">
        <x:v>Snared 1</x:v>
      </x:c>
      <x:c r="N609" s="12" t="str">
        <x:v>Tool, Harvest, Retreat</x:v>
      </x:c>
      <x:c r="O609" s="12" t="str">
        <x:v>Gain +2 to the next harvest, retreat, or weak-point test. If it fails, apply Snared 1 to the quarry or clear it from a survivor.</x:v>
      </x:c>
      <x:c r="P609" s="12" t="str">
        <x:v>Gain +2 to the next harvest, retreat, or weak-point test linked to Sky Reef Sanctuary. On failure, either apply Snared 1 to the quarry or clear that status from a survivor. If this is the only card you play this turn, gain +2 block.</x:v>
      </x:c>
      <x:c r="Q609" s="12" t="str"/>
      <x:c r="R609" s="12" t="str">
        <x:v>quirk: stance</x:v>
      </x:c>
      <x:c r="S609" s="12" t="str">
        <x:v>65bfbdc1d4c5</x:v>
      </x:c>
      <x:c r="T609" s="12" t="n">
        <x:f>COUNTIF($S$2:$S$757,S609)</x:f>
        <x:v>1</x:v>
      </x:c>
      <x:c r="U609" s="12" t="str">
        <x:f>IF(T609=1,"OK","DUPLICATE")</x:f>
        <x:v>OK</x:v>
      </x:c>
    </x:row>
    <x:row r="610" ht="39.599998474121094" hidden="0" customHeight="1">
      <x:c r="A610" s="12" t="str">
        <x:v>Shadow Saliva Shawl</x:v>
      </x:c>
      <x:c r="B610" s="12" t="str">
        <x:v>SHADOW SALIVA SHAWL</x:v>
      </x:c>
      <x:c r="C610" s="12" t="str">
        <x:v>tool</x:v>
      </x:c>
      <x:c r="D610" s="12" t="str">
        <x:v>tool</x:v>
      </x:c>
      <x:c r="E610" s="12" t="str">
        <x:v>mid</x:v>
      </x:c>
      <x:c r="F610" s="12" t="str">
        <x:v>uncommon</x:v>
      </x:c>
      <x:c r="G610" s="12" t="str">
        <x:v>Shadow Saliva Shawl — Contingency</x:v>
      </x:c>
      <x:c r="H610" s="34" t="n">
        <x:v>1</x:v>
      </x:c>
      <x:c r="I610" s="34" t="str">
        <x:v>reaction</x:v>
      </x:c>
      <x:c r="J610" s="34" t="str"/>
      <x:c r="K610" s="34" t="str"/>
      <x:c r="L610" s="34" t="str"/>
      <x:c r="M610" s="12" t="str"/>
      <x:c r="N610" s="12" t="str">
        <x:v>Tool, Harvest, Retreat</x:v>
      </x:c>
      <x:c r="O610" s="12" t="str">
        <x:v>When a hunt or monster consequence is previewed, reduce it by 3; on retreat, preserve 1 gathered resource; You may gain Panic 1 to increase one listed value by 1.</x:v>
      </x:c>
      <x:c r="P610" s="12" t="str">
        <x:v>When a hunt event, retreat roll, or monster consequence is previewed, reduce the penalty by 3. If retreating, preserve 1 gathered resource. If this is the only card you play this turn, gain +2 block. You may gain Panic 1 to increase one listed value by 1.</x:v>
      </x:c>
      <x:c r="Q610" s="12" t="str"/>
      <x:c r="R610" s="12" t="str">
        <x:v>quirk: stance+panicBrake | uniqueRider:panicBrake</x:v>
      </x:c>
      <x:c r="S610" s="12" t="str">
        <x:v>35a5e04ccb23</x:v>
      </x:c>
      <x:c r="T610" s="12" t="n">
        <x:f>COUNTIF($S$2:$S$757,S610)</x:f>
        <x:v>1</x:v>
      </x:c>
      <x:c r="U610" s="12" t="str">
        <x:f>IF(T610=1,"OK","DUPLICATE")</x:f>
        <x:v>OK</x:v>
      </x:c>
    </x:row>
    <x:row r="611" ht="39.599998474121094" hidden="0" customHeight="1">
      <x:c r="A611" s="12" t="str">
        <x:v>Shaxe</x:v>
      </x:c>
      <x:c r="B611" s="12" t="str">
        <x:v>SHAXE</x:v>
      </x:c>
      <x:c r="C611" s="12" t="str">
        <x:v>weapon</x:v>
      </x:c>
      <x:c r="D611" s="12" t="str">
        <x:v>axe</x:v>
      </x:c>
      <x:c r="E611" s="12" t="str">
        <x:v>early</x:v>
      </x:c>
      <x:c r="F611" s="12" t="str">
        <x:v>uncommon</x:v>
      </x:c>
      <x:c r="G611" s="12" t="str">
        <x:v>Shaxe — Opening Strike</x:v>
      </x:c>
      <x:c r="H611" s="34" t="n">
        <x:v>1</x:v>
      </x:c>
      <x:c r="I611" s="34" t="str">
        <x:v>attack</x:v>
      </x:c>
      <x:c r="J611" s="34" t="n">
        <x:v>5</x:v>
      </x:c>
      <x:c r="K611" s="34" t="n">
        <x:v>3</x:v>
      </x:c>
      <x:c r="L611" s="34" t="str"/>
      <x:c r="M611" s="12" t="str">
        <x:v>Bleed 2 | Target: White Lion</x:v>
      </x:c>
      <x:c r="N611" s="12" t="str">
        <x:v>Heavy, Brutal, Harvest, Attack</x:v>
      </x:c>
      <x:c r="O611" s="12" t="str">
        <x:v>Deal 5 damage. Apply Bleed 2 if the target has a White Lion weak point, otherwise gain Marked 1.</x:v>
      </x:c>
      <x:c r="P611" s="12" t="str">
        <x:v>Deal 5 damage with Shaxe. Apply Bleed 2 against a matching White Lion weak point; otherwise apply Marked 1. If you have any wound, add +1 damage but gain Panic 1.</x:v>
      </x:c>
      <x:c r="Q611" s="12" t="str"/>
      <x:c r="R611" s="12" t="str">
        <x:v>quirk: wounded</x:v>
      </x:c>
      <x:c r="S611" s="12" t="str">
        <x:v>904656a60b24</x:v>
      </x:c>
      <x:c r="T611" s="12" t="n">
        <x:f>COUNTIF($S$2:$S$757,S611)</x:f>
        <x:v>1</x:v>
      </x:c>
      <x:c r="U611" s="12" t="str">
        <x:f>IF(T611=1,"OK","DUPLICATE")</x:f>
        <x:v>OK</x:v>
      </x:c>
    </x:row>
    <x:row r="612" ht="26.399999618530273" hidden="0" customHeight="1">
      <x:c r="A612" s="12" t="str">
        <x:v>Shaxe</x:v>
      </x:c>
      <x:c r="B612" s="12" t="str">
        <x:v>SHAXE</x:v>
      </x:c>
      <x:c r="C612" s="12" t="str">
        <x:v>weapon</x:v>
      </x:c>
      <x:c r="D612" s="12" t="str">
        <x:v>axe</x:v>
      </x:c>
      <x:c r="E612" s="12" t="str">
        <x:v>early</x:v>
      </x:c>
      <x:c r="F612" s="12" t="str">
        <x:v>uncommon</x:v>
      </x:c>
      <x:c r="G612" s="12" t="str">
        <x:v>Shaxe — Technique</x:v>
      </x:c>
      <x:c r="H612" s="34" t="n">
        <x:v>2</x:v>
      </x:c>
      <x:c r="I612" s="34" t="str">
        <x:v>skill</x:v>
      </x:c>
      <x:c r="J612" s="34" t="str"/>
      <x:c r="K612" s="34" t="str"/>
      <x:c r="L612" s="34" t="n">
        <x:v>3</x:v>
      </x:c>
      <x:c r="M612" s="12" t="str">
        <x:v>Opens: True</x:v>
      </x:c>
      <x:c r="N612" s="12" t="str">
        <x:v>Heavy, Brutal, Harvest, Setup</x:v>
      </x:c>
      <x:c r="O612" s="12" t="str">
        <x:v>Commit to a heavy chop; +3 break damage but failed fragile harvests worsen by one step. Also gain 3 block.</x:v>
      </x:c>
      <x:c r="P612" s="12" t="str">
        <x:v>Commit to a heavy chop; +3 break damage but failed fragile harvests worsen by one step. gain 3 block. If you have any wound, add +1 damage but gain Panic 1.</x:v>
      </x:c>
      <x:c r="Q612" s="12" t="str"/>
      <x:c r="R612" s="12" t="str">
        <x:v>quirk: wounded</x:v>
      </x:c>
      <x:c r="S612" s="12" t="str">
        <x:v>0d39687ad9f8</x:v>
      </x:c>
      <x:c r="T612" s="12" t="n">
        <x:f>COUNTIF($S$2:$S$757,S612)</x:f>
        <x:v>1</x:v>
      </x:c>
      <x:c r="U612" s="12" t="str">
        <x:f>IF(T612=1,"OK","DUPLICATE")</x:f>
        <x:v>OK</x:v>
      </x:c>
    </x:row>
    <x:row r="613" ht="26.399999618530273" hidden="0" customHeight="1">
      <x:c r="A613" s="12" t="str">
        <x:v>Shaxe</x:v>
      </x:c>
      <x:c r="B613" s="12" t="str">
        <x:v>SHAXE</x:v>
      </x:c>
      <x:c r="C613" s="12" t="str">
        <x:v>weapon</x:v>
      </x:c>
      <x:c r="D613" s="12" t="str">
        <x:v>axe</x:v>
      </x:c>
      <x:c r="E613" s="12" t="str">
        <x:v>early</x:v>
      </x:c>
      <x:c r="F613" s="12" t="str">
        <x:v>uncommon</x:v>
      </x:c>
      <x:c r="G613" s="12" t="str">
        <x:v>Shaxe — Payoff</x:v>
      </x:c>
      <x:c r="H613" s="34" t="n">
        <x:v>3</x:v>
      </x:c>
      <x:c r="I613" s="34" t="str">
        <x:v>attack</x:v>
      </x:c>
      <x:c r="J613" s="34" t="n">
        <x:v>8</x:v>
      </x:c>
      <x:c r="K613" s="34" t="n">
        <x:v>4</x:v>
      </x:c>
      <x:c r="L613" s="34" t="str"/>
      <x:c r="M613" s="12" t="str">
        <x:v>Bleed 1</x:v>
      </x:c>
      <x:c r="N613" s="12" t="str">
        <x:v>Heavy, Brutal, Harvest, Payoff, WeakPoint</x:v>
      </x:c>
      <x:c r="O613" s="12" t="str">
        <x:v>Deal 8 damage and 4 break damage. If this breaks a weak point, resolve Bleed 1 and the wounded rider.</x:v>
      </x:c>
      <x:c r="P613" s="12" t="str">
        <x:v>Deal 8 damage and 4 break damage. If the weak point breaks, apply Bleed 1 and resolve: If you have any wound, add +1 damage but gain Panic 1.</x:v>
      </x:c>
      <x:c r="Q613" s="12" t="str"/>
      <x:c r="R613" s="12" t="str">
        <x:v>quirk: wounded | countsAsCounter False, firstCounterFree False</x:v>
      </x:c>
      <x:c r="S613" s="12" t="str">
        <x:v>64488c1dcda0</x:v>
      </x:c>
      <x:c r="T613" s="12" t="n">
        <x:f>COUNTIF($S$2:$S$757,S613)</x:f>
        <x:v>1</x:v>
      </x:c>
      <x:c r="U613" s="12" t="str">
        <x:f>IF(T613=1,"OK","DUPLICATE")</x:f>
        <x:v>OK</x:v>
      </x:c>
    </x:row>
    <x:row r="614" ht="39.599998474121094" hidden="0" customHeight="1">
      <x:c r="A614" s="12" t="str">
        <x:v>Shielded Quiver</x:v>
      </x:c>
      <x:c r="B614" s="12" t="str">
        <x:v>SHIELDED QUIVER</x:v>
      </x:c>
      <x:c r="C614" s="12" t="str">
        <x:v>offhand</x:v>
      </x:c>
      <x:c r="D614" s="12" t="str">
        <x:v>shield</x:v>
      </x:c>
      <x:c r="E614" s="12" t="str">
        <x:v>apex</x:v>
      </x:c>
      <x:c r="F614" s="12" t="str">
        <x:v>uncommon</x:v>
      </x:c>
      <x:c r="G614" s="12" t="str">
        <x:v>Shielded Quiver — Shield Wall</x:v>
      </x:c>
      <x:c r="H614" s="34" t="n">
        <x:v>1</x:v>
      </x:c>
      <x:c r="I614" s="34" t="str">
        <x:v>skill</x:v>
      </x:c>
      <x:c r="J614" s="34" t="str"/>
      <x:c r="K614" s="34" t="str"/>
      <x:c r="L614" s="34" t="n">
        <x:v>7</x:v>
      </x:c>
      <x:c r="M614" s="12" t="str"/>
      <x:c r="N614" s="12" t="str">
        <x:v>Defensive, Counter, Party</x:v>
      </x:c>
      <x:c r="O614" s="12" t="str">
        <x:v>Gain 7 block and give chosen ally Guarded 1. The first Counter from this equipment this battle costs 0.</x:v>
      </x:c>
      <x:c r="P614" s="12" t="str">
        <x:v>Gain 7 block and give chosen ally Guarded 1. Set firstCounterReady for this equipment if unused. If this is your first card this turn, reduce its cost by 1, minimum 0.</x:v>
      </x:c>
      <x:c r="Q614" s="12" t="str"/>
      <x:c r="R614" s="12" t="str">
        <x:v>quirk: tempo | grantsFirstCounterFree True</x:v>
      </x:c>
      <x:c r="S614" s="12" t="str">
        <x:v>7dd9f67a52d3</x:v>
      </x:c>
      <x:c r="T614" s="12" t="n">
        <x:f>COUNTIF($S$2:$S$757,S614)</x:f>
        <x:v>1</x:v>
      </x:c>
      <x:c r="U614" s="12" t="str">
        <x:f>IF(T614=1,"OK","DUPLICATE")</x:f>
        <x:v>OK</x:v>
      </x:c>
    </x:row>
    <x:row r="615" ht="39.599998474121094" hidden="0" customHeight="1">
      <x:c r="A615" s="12" t="str">
        <x:v>Shielded Quiver</x:v>
      </x:c>
      <x:c r="B615" s="12" t="str">
        <x:v>SHIELDED QUIVER</x:v>
      </x:c>
      <x:c r="C615" s="12" t="str">
        <x:v>offhand</x:v>
      </x:c>
      <x:c r="D615" s="12" t="str">
        <x:v>shield</x:v>
      </x:c>
      <x:c r="E615" s="12" t="str">
        <x:v>apex</x:v>
      </x:c>
      <x:c r="F615" s="12" t="str">
        <x:v>uncommon</x:v>
      </x:c>
      <x:c r="G615" s="12" t="str">
        <x:v>Shielded Quiver — Answering Bash</x:v>
      </x:c>
      <x:c r="H615" s="34" t="n">
        <x:v>1</x:v>
      </x:c>
      <x:c r="I615" s="34" t="str">
        <x:v>reaction</x:v>
      </x:c>
      <x:c r="J615" s="34" t="n">
        <x:v>6</x:v>
      </x:c>
      <x:c r="K615" s="34" t="str"/>
      <x:c r="L615" s="34" t="n">
        <x:v>0</x:v>
      </x:c>
      <x:c r="M615" s="12" t="str"/>
      <x:c r="N615" s="12" t="str">
        <x:v>Defensive, Counter, Party</x:v>
      </x:c>
      <x:c r="O615" s="12" t="str">
        <x:v>Counter for 6 damage after blocking. Costs 0 if it is this equipment’s first Counter of the battle.</x:v>
      </x:c>
      <x:c r="P615" s="12" t="str">
        <x:v>After this survivor blocks or prevents damage, Counter for 6 damage. If firstCounterUsed[shieldedQuiver] is false this battle, pay 0 and then set it true. If this is your first card this turn, reduce its cost by 1, minimum 0.</x:v>
      </x:c>
      <x:c r="Q615" s="12" t="str">
        <x:v>YES</x:v>
      </x:c>
      <x:c r="R615" s="12" t="str">
        <x:v>quirk: tempo | countsAsCounter True, firstCounterFree True, counterFreeScope perBattlePerEquipment</x:v>
      </x:c>
      <x:c r="S615" s="12" t="str">
        <x:v>72512018a247</x:v>
      </x:c>
      <x:c r="T615" s="12" t="n">
        <x:f>COUNTIF($S$2:$S$757,S615)</x:f>
        <x:v>1</x:v>
      </x:c>
      <x:c r="U615" s="12" t="str">
        <x:f>IF(T615=1,"OK","DUPLICATE")</x:f>
        <x:v>OK</x:v>
      </x:c>
    </x:row>
    <x:row r="616" ht="39.599998474121094" hidden="0" customHeight="1">
      <x:c r="A616" s="12" t="str">
        <x:v>Websilk Armor Set</x:v>
      </x:c>
      <x:c r="B616" s="12" t="str">
        <x:v>SILK ARMOR SET</x:v>
      </x:c>
      <x:c r="C616" s="12" t="str">
        <x:v>set</x:v>
      </x:c>
      <x:c r="D616" s="12" t="str">
        <x:v>armor</x:v>
      </x:c>
      <x:c r="E616" s="12" t="str">
        <x:v>mid</x:v>
      </x:c>
      <x:c r="F616" s="12" t="str">
        <x:v>uncommon</x:v>
      </x:c>
      <x:c r="G616" s="12" t="str">
        <x:v>Websilk Armor Set — Brace</x:v>
      </x:c>
      <x:c r="H616" s="34" t="n">
        <x:v>1</x:v>
      </x:c>
      <x:c r="I616" s="34" t="str">
        <x:v>skill</x:v>
      </x:c>
      <x:c r="J616" s="34" t="str"/>
      <x:c r="K616" s="34" t="str"/>
      <x:c r="L616" s="34" t="n">
        <x:v>6</x:v>
      </x:c>
      <x:c r="M616" s="12" t="str"/>
      <x:c r="N616" s="12" t="str">
        <x:v>Defensive, Party, WoundCare</x:v>
      </x:c>
      <x:c r="O616" s="12" t="str">
        <x:v>Gain 6 block and Guarded 1. If hit before your next turn, reduce Snared or Panic by 1.</x:v>
      </x:c>
      <x:c r="P616" s="12" t="str">
        <x:v>Gain 6 block and Guarded 1. If the next monster hit lands before your next turn, reduce Snared or Panic by 1 after damage. If a tell is Open, add +2 to the listed damage or block value.</x:v>
      </x:c>
      <x:c r="Q616" s="12" t="str"/>
      <x:c r="R616" s="12" t="str">
        <x:v>quirk: openTell</x:v>
      </x:c>
      <x:c r="S616" s="12" t="str">
        <x:v>a72603fb730e</x:v>
      </x:c>
      <x:c r="T616" s="12" t="n">
        <x:f>COUNTIF($S$2:$S$757,S616)</x:f>
        <x:v>1</x:v>
      </x:c>
      <x:c r="U616" s="12" t="str">
        <x:f>IF(T616=1,"OK","DUPLICATE")</x:f>
        <x:v>OK</x:v>
      </x:c>
    </x:row>
    <x:row r="617" ht="39.599998474121094" hidden="0" customHeight="1">
      <x:c r="A617" s="12" t="str">
        <x:v>Websilk Armor Set</x:v>
      </x:c>
      <x:c r="B617" s="12" t="str">
        <x:v>SILK ARMOR SET</x:v>
      </x:c>
      <x:c r="C617" s="12" t="str">
        <x:v>set</x:v>
      </x:c>
      <x:c r="D617" s="12" t="str">
        <x:v>armor</x:v>
      </x:c>
      <x:c r="E617" s="12" t="str">
        <x:v>mid</x:v>
      </x:c>
      <x:c r="F617" s="12" t="str">
        <x:v>uncommon</x:v>
      </x:c>
      <x:c r="G617" s="12" t="str">
        <x:v>Websilk Armor Set — Setline</x:v>
      </x:c>
      <x:c r="H617" s="34" t="n">
        <x:v>2</x:v>
      </x:c>
      <x:c r="I617" s="34" t="str">
        <x:v>reaction</x:v>
      </x:c>
      <x:c r="J617" s="34" t="str"/>
      <x:c r="K617" s="34" t="str"/>
      <x:c r="L617" s="34" t="n">
        <x:v>7</x:v>
      </x:c>
      <x:c r="M617" s="12" t="str"/>
      <x:c r="N617" s="12" t="str">
        <x:v>Defensive, Party, WoundCare, Reaction</x:v>
      </x:c>
      <x:c r="O617" s="12" t="str">
        <x:v>After damage is previewed, prevent 7 damage. Then give the next ally Guarded 2.</x:v>
      </x:c>
      <x:c r="P617" s="12" t="str">
        <x:v>After incoming damage is previewed, prevent 7 damage with the set slot. Then the next ally gains Guarded 2. If a tell is Open, add +2 to the listed damage or block value.</x:v>
      </x:c>
      <x:c r="Q617" s="12" t="str"/>
      <x:c r="R617" s="12" t="str">
        <x:v>quirk: openTell</x:v>
      </x:c>
      <x:c r="S617" s="12" t="str">
        <x:v>e1558e636045</x:v>
      </x:c>
      <x:c r="T617" s="12" t="n">
        <x:f>COUNTIF($S$2:$S$757,S617)</x:f>
        <x:v>1</x:v>
      </x:c>
      <x:c r="U617" s="12" t="str">
        <x:f>IF(T617=1,"OK","DUPLICATE")</x:f>
        <x:v>OK</x:v>
      </x:c>
    </x:row>
    <x:row r="618" ht="39.599998474121094" hidden="0" customHeight="1">
      <x:c r="A618" s="12" t="str">
        <x:v>Websilk Body Suit</x:v>
      </x:c>
      <x:c r="B618" s="12" t="str">
        <x:v>SILK BODY SUIT</x:v>
      </x:c>
      <x:c r="C618" s="12" t="str">
        <x:v>body</x:v>
      </x:c>
      <x:c r="D618" s="12" t="str">
        <x:v>armor</x:v>
      </x:c>
      <x:c r="E618" s="12" t="str">
        <x:v>mid</x:v>
      </x:c>
      <x:c r="F618" s="12" t="str">
        <x:v>uncommon</x:v>
      </x:c>
      <x:c r="G618" s="12" t="str">
        <x:v>Websilk Body Suit — Brace</x:v>
      </x:c>
      <x:c r="H618" s="34" t="n">
        <x:v>1</x:v>
      </x:c>
      <x:c r="I618" s="34" t="str">
        <x:v>skill</x:v>
      </x:c>
      <x:c r="J618" s="34" t="str"/>
      <x:c r="K618" s="34" t="str"/>
      <x:c r="L618" s="34" t="n">
        <x:v>3</x:v>
      </x:c>
      <x:c r="M618" s="12" t="str"/>
      <x:c r="N618" s="12" t="str">
        <x:v>Defensive, Party, WoundCare</x:v>
      </x:c>
      <x:c r="O618" s="12" t="str">
        <x:v>Gain 3 block and Guarded 2. If hit before your next turn, reduce Snared or Panic by 1.</x:v>
      </x:c>
      <x:c r="P618" s="12" t="str">
        <x:v>Gain 3 block and Guarded 2. If the next monster hit lands before your next turn, reduce Snared or Panic by 1 after damage. After use, Exhaust this equipment until the next monster turn.</x:v>
      </x:c>
      <x:c r="Q618" s="12" t="str"/>
      <x:c r="R618" s="12" t="str">
        <x:v>quirk: exhaust</x:v>
      </x:c>
      <x:c r="S618" s="12" t="str">
        <x:v>866ba28f2345</x:v>
      </x:c>
      <x:c r="T618" s="12" t="n">
        <x:f>COUNTIF($S$2:$S$757,S618)</x:f>
        <x:v>1</x:v>
      </x:c>
      <x:c r="U618" s="12" t="str">
        <x:f>IF(T618=1,"OK","DUPLICATE")</x:f>
        <x:v>OK</x:v>
      </x:c>
    </x:row>
    <x:row r="619" ht="39.599998474121094" hidden="0" customHeight="1">
      <x:c r="A619" s="12" t="str">
        <x:v>Websilk Body Suit</x:v>
      </x:c>
      <x:c r="B619" s="12" t="str">
        <x:v>SILK BODY SUIT</x:v>
      </x:c>
      <x:c r="C619" s="12" t="str">
        <x:v>body</x:v>
      </x:c>
      <x:c r="D619" s="12" t="str">
        <x:v>armor</x:v>
      </x:c>
      <x:c r="E619" s="12" t="str">
        <x:v>mid</x:v>
      </x:c>
      <x:c r="F619" s="12" t="str">
        <x:v>uncommon</x:v>
      </x:c>
      <x:c r="G619" s="12" t="str">
        <x:v>Websilk Body Suit — Fitted Plate</x:v>
      </x:c>
      <x:c r="H619" s="34" t="n">
        <x:v>1</x:v>
      </x:c>
      <x:c r="I619" s="34" t="str">
        <x:v>reaction</x:v>
      </x:c>
      <x:c r="J619" s="34" t="str"/>
      <x:c r="K619" s="34" t="str"/>
      <x:c r="L619" s="34" t="n">
        <x:v>5</x:v>
      </x:c>
      <x:c r="M619" s="12" t="str"/>
      <x:c r="N619" s="12" t="str">
        <x:v>Defensive, Party, WoundCare, Reaction</x:v>
      </x:c>
      <x:c r="O619" s="12" t="str">
        <x:v>After damage is previewed, prevent 5 damage. Then give the next ally Guarded 2.</x:v>
      </x:c>
      <x:c r="P619" s="12" t="str">
        <x:v>After incoming damage is previewed, prevent 5 damage with the body slot. Then the next ally gains Guarded 2. After use, Exhaust this equipment until the next monster turn.</x:v>
      </x:c>
      <x:c r="Q619" s="12" t="str"/>
      <x:c r="R619" s="12" t="str">
        <x:v>quirk: exhaust</x:v>
      </x:c>
      <x:c r="S619" s="12" t="str">
        <x:v>2ad80fee0206</x:v>
      </x:c>
      <x:c r="T619" s="12" t="n">
        <x:f>COUNTIF($S$2:$S$757,S619)</x:f>
        <x:v>1</x:v>
      </x:c>
      <x:c r="U619" s="12" t="str">
        <x:f>IF(T619=1,"OK","DUPLICATE")</x:f>
        <x:v>OK</x:v>
      </x:c>
    </x:row>
    <x:row r="620" ht="39.599998474121094" hidden="0" customHeight="1">
      <x:c r="A620" s="12" t="str">
        <x:v>Websilk Bomb</x:v>
      </x:c>
      <x:c r="B620" s="12" t="str">
        <x:v>SILK BOMB</x:v>
      </x:c>
      <x:c r="C620" s="12" t="str">
        <x:v>tool</x:v>
      </x:c>
      <x:c r="D620" s="12" t="str">
        <x:v>consumable</x:v>
      </x:c>
      <x:c r="E620" s="12" t="str">
        <x:v>mid</x:v>
      </x:c>
      <x:c r="F620" s="12" t="str">
        <x:v>uncommon</x:v>
      </x:c>
      <x:c r="G620" s="12" t="str">
        <x:v>Websilk Bomb — Use</x:v>
      </x:c>
      <x:c r="H620" s="34" t="n">
        <x:v>0</x:v>
      </x:c>
      <x:c r="I620" s="34" t="str">
        <x:v>skill</x:v>
      </x:c>
      <x:c r="J620" s="34" t="str"/>
      <x:c r="K620" s="34" t="str"/>
      <x:c r="L620" s="34" t="str"/>
      <x:c r="M620" s="12" t="str">
        <x:v>Snared 3</x:v>
      </x:c>
      <x:c r="N620" s="12" t="str">
        <x:v>Tool, Survival, Retreat</x:v>
      </x:c>
      <x:c r="O620" s="12" t="str">
        <x:v>Gain +4 to the next harvest, retreat, or weak-point test. If it fails, apply Snared 3 to the quarry or clear it from a survivor.</x:v>
      </x:c>
      <x:c r="P620" s="12" t="str">
        <x:v>Gain +4 to the next harvest, retreat, or weak-point test linked to Silk Mill. On failure, either apply Snared 3 to the quarry or clear that status from a survivor. If you have no Bleed, Poison or Burn, add +1 to all listed values.</x:v>
      </x:c>
      <x:c r="Q620" s="12" t="str"/>
      <x:c r="R620" s="12" t="str">
        <x:v>quirk: cleanHands</x:v>
      </x:c>
      <x:c r="S620" s="12" t="str">
        <x:v>22a36e767215</x:v>
      </x:c>
      <x:c r="T620" s="12" t="n">
        <x:f>COUNTIF($S$2:$S$757,S620)</x:f>
        <x:v>1</x:v>
      </x:c>
      <x:c r="U620" s="12" t="str">
        <x:f>IF(T620=1,"OK","DUPLICATE")</x:f>
        <x:v>OK</x:v>
      </x:c>
    </x:row>
    <x:row r="621" ht="39.599998474121094" hidden="0" customHeight="1">
      <x:c r="A621" s="12" t="str">
        <x:v>Websilk Bomb</x:v>
      </x:c>
      <x:c r="B621" s="12" t="str">
        <x:v>SILK BOMB</x:v>
      </x:c>
      <x:c r="C621" s="12" t="str">
        <x:v>tool</x:v>
      </x:c>
      <x:c r="D621" s="12" t="str">
        <x:v>consumable</x:v>
      </x:c>
      <x:c r="E621" s="12" t="str">
        <x:v>mid</x:v>
      </x:c>
      <x:c r="F621" s="12" t="str">
        <x:v>uncommon</x:v>
      </x:c>
      <x:c r="G621" s="12" t="str">
        <x:v>Websilk Bomb — Contingency</x:v>
      </x:c>
      <x:c r="H621" s="34" t="n">
        <x:v>1</x:v>
      </x:c>
      <x:c r="I621" s="34" t="str">
        <x:v>reaction</x:v>
      </x:c>
      <x:c r="J621" s="34" t="str"/>
      <x:c r="K621" s="34" t="str"/>
      <x:c r="L621" s="34" t="str"/>
      <x:c r="M621" s="12" t="str"/>
      <x:c r="N621" s="12" t="str">
        <x:v>Tool, Survival, Retreat</x:v>
      </x:c>
      <x:c r="O621" s="12" t="str">
        <x:v>When a hunt or monster consequence is previewed, reduce it by 4; on retreat, preserve 2 gathered resource.</x:v>
      </x:c>
      <x:c r="P621" s="12" t="str">
        <x:v>When a hunt event, retreat roll, or monster consequence is previewed, reduce the penalty by 4. If retreating, preserve 2 gathered resource. If you have no Bleed, Poison or Burn, add +1 to all listed values.</x:v>
      </x:c>
      <x:c r="Q621" s="12" t="str"/>
      <x:c r="R621" s="12" t="str">
        <x:v>quirk: cleanHands</x:v>
      </x:c>
      <x:c r="S621" s="12" t="str">
        <x:v>952ce63f650d</x:v>
      </x:c>
      <x:c r="T621" s="12" t="n">
        <x:f>COUNTIF($S$2:$S$757,S621)</x:f>
        <x:v>1</x:v>
      </x:c>
      <x:c r="U621" s="12" t="str">
        <x:f>IF(T621=1,"OK","DUPLICATE")</x:f>
        <x:v>OK</x:v>
      </x:c>
    </x:row>
    <x:row r="622" ht="39.599998474121094" hidden="0" customHeight="1">
      <x:c r="A622" s="12" t="str">
        <x:v>Websilk Treads</x:v>
      </x:c>
      <x:c r="B622" s="12" t="str">
        <x:v>SILK BOOTS</x:v>
      </x:c>
      <x:c r="C622" s="12" t="str">
        <x:v>legs</x:v>
      </x:c>
      <x:c r="D622" s="12" t="str">
        <x:v>armor</x:v>
      </x:c>
      <x:c r="E622" s="12" t="str">
        <x:v>mid</x:v>
      </x:c>
      <x:c r="F622" s="12" t="str">
        <x:v>uncommon</x:v>
      </x:c>
      <x:c r="G622" s="12" t="str">
        <x:v>Websilk Treads — Brace</x:v>
      </x:c>
      <x:c r="H622" s="34" t="n">
        <x:v>1</x:v>
      </x:c>
      <x:c r="I622" s="34" t="str">
        <x:v>skill</x:v>
      </x:c>
      <x:c r="J622" s="34" t="str"/>
      <x:c r="K622" s="34" t="str"/>
      <x:c r="L622" s="34" t="n">
        <x:v>5</x:v>
      </x:c>
      <x:c r="M622" s="12" t="str"/>
      <x:c r="N622" s="12" t="str">
        <x:v>Defensive, Party, WoundCare</x:v>
      </x:c>
      <x:c r="O622" s="12" t="str">
        <x:v>Gain 5 block and Guarded 1. If hit before your next turn, reduce Snared or Panic by 1.</x:v>
      </x:c>
      <x:c r="P622" s="12" t="str">
        <x:v>Gain 5 block and Guarded 1. If the next monster hit lands before your next turn, reduce Snared or Panic by 1 after damage. If this is the only card you play this turn, gain +2 block.</x:v>
      </x:c>
      <x:c r="Q622" s="12" t="str"/>
      <x:c r="R622" s="12" t="str">
        <x:v>quirk: stance</x:v>
      </x:c>
      <x:c r="S622" s="12" t="str">
        <x:v>aaff99fdaed9</x:v>
      </x:c>
      <x:c r="T622" s="12" t="n">
        <x:f>COUNTIF($S$2:$S$757,S622)</x:f>
        <x:v>1</x:v>
      </x:c>
      <x:c r="U622" s="12" t="str">
        <x:f>IF(T622=1,"OK","DUPLICATE")</x:f>
        <x:v>OK</x:v>
      </x:c>
    </x:row>
    <x:row r="623" ht="39.599998474121094" hidden="0" customHeight="1">
      <x:c r="A623" s="12" t="str">
        <x:v>Websilk Treads</x:v>
      </x:c>
      <x:c r="B623" s="12" t="str">
        <x:v>SILK BOOTS</x:v>
      </x:c>
      <x:c r="C623" s="12" t="str">
        <x:v>legs</x:v>
      </x:c>
      <x:c r="D623" s="12" t="str">
        <x:v>armor</x:v>
      </x:c>
      <x:c r="E623" s="12" t="str">
        <x:v>mid</x:v>
      </x:c>
      <x:c r="F623" s="12" t="str">
        <x:v>uncommon</x:v>
      </x:c>
      <x:c r="G623" s="12" t="str">
        <x:v>Websilk Treads — Fitted Plate</x:v>
      </x:c>
      <x:c r="H623" s="34" t="n">
        <x:v>1</x:v>
      </x:c>
      <x:c r="I623" s="34" t="str">
        <x:v>reaction</x:v>
      </x:c>
      <x:c r="J623" s="34" t="str"/>
      <x:c r="K623" s="34" t="str"/>
      <x:c r="L623" s="34" t="n">
        <x:v>6</x:v>
      </x:c>
      <x:c r="M623" s="12" t="str"/>
      <x:c r="N623" s="12" t="str">
        <x:v>Defensive, Party, WoundCare, Reaction</x:v>
      </x:c>
      <x:c r="O623" s="12" t="str">
        <x:v>After damage is previewed, prevent 6 damage. Then give the next ally Guarded 2.</x:v>
      </x:c>
      <x:c r="P623" s="12" t="str">
        <x:v>After incoming damage is previewed, prevent 6 damage with the legs slot. Then the next ally gains Guarded 2. If this is the only card you play this turn, gain +2 block.</x:v>
      </x:c>
      <x:c r="Q623" s="12" t="str"/>
      <x:c r="R623" s="12" t="str">
        <x:v>quirk: stance</x:v>
      </x:c>
      <x:c r="S623" s="12" t="str">
        <x:v>6da410bc649d</x:v>
      </x:c>
      <x:c r="T623" s="12" t="n">
        <x:f>COUNTIF($S$2:$S$757,S623)</x:f>
        <x:v>1</x:v>
      </x:c>
      <x:c r="U623" s="12" t="str">
        <x:f>IF(T623=1,"OK","DUPLICATE")</x:f>
        <x:v>OK</x:v>
      </x:c>
    </x:row>
    <x:row r="624" ht="39.599998474121094" hidden="0" customHeight="1">
      <x:c r="A624" s="12" t="str">
        <x:v>Websilk Robes</x:v>
      </x:c>
      <x:c r="B624" s="12" t="str">
        <x:v>SILK ROBES</x:v>
      </x:c>
      <x:c r="C624" s="12" t="str">
        <x:v>body</x:v>
      </x:c>
      <x:c r="D624" s="12" t="str">
        <x:v>armor</x:v>
      </x:c>
      <x:c r="E624" s="12" t="str">
        <x:v>mid</x:v>
      </x:c>
      <x:c r="F624" s="12" t="str">
        <x:v>uncommon</x:v>
      </x:c>
      <x:c r="G624" s="12" t="str">
        <x:v>Websilk Robes — Brace</x:v>
      </x:c>
      <x:c r="H624" s="34" t="n">
        <x:v>1</x:v>
      </x:c>
      <x:c r="I624" s="34" t="str">
        <x:v>skill</x:v>
      </x:c>
      <x:c r="J624" s="34" t="str"/>
      <x:c r="K624" s="34" t="str"/>
      <x:c r="L624" s="34" t="n">
        <x:v>6</x:v>
      </x:c>
      <x:c r="M624" s="12" t="str"/>
      <x:c r="N624" s="12" t="str">
        <x:v>Defensive, Party, WoundCare</x:v>
      </x:c>
      <x:c r="O624" s="12" t="str">
        <x:v>Gain 6 block and Guarded 2. If hit before your next turn, reduce Snared or Panic by 1.</x:v>
      </x:c>
      <x:c r="P624" s="12" t="str">
        <x:v>Gain 6 block and Guarded 2. If the next monster hit lands before your next turn, reduce Snared or Panic by 1 after damage. If played after blocking, your next Counter gains +2 damage.</x:v>
      </x:c>
      <x:c r="Q624" s="12" t="str"/>
      <x:c r="R624" s="12" t="str">
        <x:v>quirk: counterReady</x:v>
      </x:c>
      <x:c r="S624" s="12" t="str">
        <x:v>b638804958dc</x:v>
      </x:c>
      <x:c r="T624" s="12" t="n">
        <x:f>COUNTIF($S$2:$S$757,S624)</x:f>
        <x:v>1</x:v>
      </x:c>
      <x:c r="U624" s="12" t="str">
        <x:f>IF(T624=1,"OK","DUPLICATE")</x:f>
        <x:v>OK</x:v>
      </x:c>
    </x:row>
    <x:row r="625" ht="39.599998474121094" hidden="0" customHeight="1">
      <x:c r="A625" s="12" t="str">
        <x:v>Websilk Robes</x:v>
      </x:c>
      <x:c r="B625" s="12" t="str">
        <x:v>SILK ROBES</x:v>
      </x:c>
      <x:c r="C625" s="12" t="str">
        <x:v>body</x:v>
      </x:c>
      <x:c r="D625" s="12" t="str">
        <x:v>armor</x:v>
      </x:c>
      <x:c r="E625" s="12" t="str">
        <x:v>mid</x:v>
      </x:c>
      <x:c r="F625" s="12" t="str">
        <x:v>uncommon</x:v>
      </x:c>
      <x:c r="G625" s="12" t="str">
        <x:v>Websilk Robes — Fitted Plate</x:v>
      </x:c>
      <x:c r="H625" s="34" t="n">
        <x:v>2</x:v>
      </x:c>
      <x:c r="I625" s="34" t="str">
        <x:v>reaction</x:v>
      </x:c>
      <x:c r="J625" s="34" t="str"/>
      <x:c r="K625" s="34" t="str"/>
      <x:c r="L625" s="34" t="n">
        <x:v>8</x:v>
      </x:c>
      <x:c r="M625" s="12" t="str"/>
      <x:c r="N625" s="12" t="str">
        <x:v>Defensive, Party, WoundCare, Reaction</x:v>
      </x:c>
      <x:c r="O625" s="12" t="str">
        <x:v>After damage is previewed, prevent 8 damage. Then give the next ally Guarded 2.</x:v>
      </x:c>
      <x:c r="P625" s="12" t="str">
        <x:v>After incoming damage is previewed, prevent 8 damage with the body slot. Then the next ally gains Guarded 2. If played after blocking, your next Counter gains +2 damage.</x:v>
      </x:c>
      <x:c r="Q625" s="12" t="str"/>
      <x:c r="R625" s="12" t="str">
        <x:v>quirk: counterReady</x:v>
      </x:c>
      <x:c r="S625" s="12" t="str">
        <x:v>acdec9e160fe</x:v>
      </x:c>
      <x:c r="T625" s="12" t="n">
        <x:f>COUNTIF($S$2:$S$757,S625)</x:f>
        <x:v>1</x:v>
      </x:c>
      <x:c r="U625" s="12" t="str">
        <x:f>IF(T625=1,"OK","DUPLICATE")</x:f>
        <x:v>OK</x:v>
      </x:c>
    </x:row>
    <x:row r="626" ht="39.599998474121094" hidden="0" customHeight="1">
      <x:c r="A626" s="12" t="str">
        <x:v>Websilk Sash</x:v>
      </x:c>
      <x:c r="B626" s="12" t="str">
        <x:v>SILK SASH</x:v>
      </x:c>
      <x:c r="C626" s="12" t="str">
        <x:v>waist</x:v>
      </x:c>
      <x:c r="D626" s="12" t="str">
        <x:v>armor</x:v>
      </x:c>
      <x:c r="E626" s="12" t="str">
        <x:v>mid</x:v>
      </x:c>
      <x:c r="F626" s="12" t="str">
        <x:v>uncommon</x:v>
      </x:c>
      <x:c r="G626" s="12" t="str">
        <x:v>Websilk Sash — Brace</x:v>
      </x:c>
      <x:c r="H626" s="34" t="n">
        <x:v>1</x:v>
      </x:c>
      <x:c r="I626" s="34" t="str">
        <x:v>skill</x:v>
      </x:c>
      <x:c r="J626" s="34" t="str"/>
      <x:c r="K626" s="34" t="str"/>
      <x:c r="L626" s="34" t="n">
        <x:v>3</x:v>
      </x:c>
      <x:c r="M626" s="12" t="str"/>
      <x:c r="N626" s="12" t="str">
        <x:v>Defensive, Party, WoundCare</x:v>
      </x:c>
      <x:c r="O626" s="12" t="str">
        <x:v>Gain 3 block and Guarded 3. If hit before your next turn, reduce Snared or Panic by 1.</x:v>
      </x:c>
      <x:c r="P626" s="12" t="str">
        <x:v>Gain 3 block and Guarded 3. If the next monster hit lands before your next turn, reduce Snared or Panic by 1 after damage. If you play a third attack this round, gain Panic 1.</x:v>
      </x:c>
      <x:c r="Q626" s="12" t="str"/>
      <x:c r="R626" s="12" t="str">
        <x:v>quirk: frenzyCheck</x:v>
      </x:c>
      <x:c r="S626" s="12" t="str">
        <x:v>633a1e8bf6fe</x:v>
      </x:c>
      <x:c r="T626" s="12" t="n">
        <x:f>COUNTIF($S$2:$S$757,S626)</x:f>
        <x:v>1</x:v>
      </x:c>
      <x:c r="U626" s="12" t="str">
        <x:f>IF(T626=1,"OK","DUPLICATE")</x:f>
        <x:v>OK</x:v>
      </x:c>
    </x:row>
    <x:row r="627" ht="26.399999618530273" hidden="0" customHeight="1">
      <x:c r="A627" s="12" t="str">
        <x:v>Websilk Sash</x:v>
      </x:c>
      <x:c r="B627" s="12" t="str">
        <x:v>SILK SASH</x:v>
      </x:c>
      <x:c r="C627" s="12" t="str">
        <x:v>waist</x:v>
      </x:c>
      <x:c r="D627" s="12" t="str">
        <x:v>armor</x:v>
      </x:c>
      <x:c r="E627" s="12" t="str">
        <x:v>mid</x:v>
      </x:c>
      <x:c r="F627" s="12" t="str">
        <x:v>uncommon</x:v>
      </x:c>
      <x:c r="G627" s="12" t="str">
        <x:v>Websilk Sash — Fitted Plate</x:v>
      </x:c>
      <x:c r="H627" s="34" t="n">
        <x:v>1</x:v>
      </x:c>
      <x:c r="I627" s="34" t="str">
        <x:v>reaction</x:v>
      </x:c>
      <x:c r="J627" s="34" t="str"/>
      <x:c r="K627" s="34" t="str"/>
      <x:c r="L627" s="34" t="n">
        <x:v>6</x:v>
      </x:c>
      <x:c r="M627" s="12" t="str"/>
      <x:c r="N627" s="12" t="str">
        <x:v>Defensive, Party, WoundCare, Reaction</x:v>
      </x:c>
      <x:c r="O627" s="12" t="str">
        <x:v>After damage is previewed, prevent 6 damage. Then give the next ally Guarded 2.</x:v>
      </x:c>
      <x:c r="P627" s="12" t="str">
        <x:v>After incoming damage is previewed, prevent 6 damage with the waist slot. Then the next ally gains Guarded 2. If you play a third attack this round, gain Panic 1.</x:v>
      </x:c>
      <x:c r="Q627" s="12" t="str"/>
      <x:c r="R627" s="12" t="str">
        <x:v>quirk: frenzyCheck</x:v>
      </x:c>
      <x:c r="S627" s="12" t="str">
        <x:v>a2e44d9ad20a</x:v>
      </x:c>
      <x:c r="T627" s="12" t="n">
        <x:f>COUNTIF($S$2:$S$757,S627)</x:f>
        <x:v>1</x:v>
      </x:c>
      <x:c r="U627" s="12" t="str">
        <x:f>IF(T627=1,"OK","DUPLICATE")</x:f>
        <x:v>OK</x:v>
      </x:c>
    </x:row>
    <x:row r="628" ht="39.599998474121094" hidden="0" customHeight="1">
      <x:c r="A628" s="12" t="str">
        <x:v>Websilk Turban</x:v>
      </x:c>
      <x:c r="B628" s="12" t="str">
        <x:v>SILK TURBAN</x:v>
      </x:c>
      <x:c r="C628" s="12" t="str">
        <x:v>head</x:v>
      </x:c>
      <x:c r="D628" s="12" t="str">
        <x:v>armor</x:v>
      </x:c>
      <x:c r="E628" s="12" t="str">
        <x:v>mid</x:v>
      </x:c>
      <x:c r="F628" s="12" t="str">
        <x:v>uncommon</x:v>
      </x:c>
      <x:c r="G628" s="12" t="str">
        <x:v>Websilk Turban — Brace</x:v>
      </x:c>
      <x:c r="H628" s="34" t="n">
        <x:v>1</x:v>
      </x:c>
      <x:c r="I628" s="34" t="str">
        <x:v>skill</x:v>
      </x:c>
      <x:c r="J628" s="34" t="str"/>
      <x:c r="K628" s="34" t="str"/>
      <x:c r="L628" s="34" t="n">
        <x:v>4</x:v>
      </x:c>
      <x:c r="M628" s="12" t="str"/>
      <x:c r="N628" s="12" t="str">
        <x:v>Defensive, Party, WoundCare</x:v>
      </x:c>
      <x:c r="O628" s="12" t="str">
        <x:v>Gain 4 block and Guarded 1. If hit before your next turn, reduce Snared or Panic by 1.</x:v>
      </x:c>
      <x:c r="P628" s="12" t="str">
        <x:v>Gain 4 block and Guarded 1. If the next monster hit lands before your next turn, reduce Snared or Panic by 1 after damage. If you deal no HP damage, gain +2 break damage.</x:v>
      </x:c>
      <x:c r="Q628" s="12" t="str"/>
      <x:c r="R628" s="12" t="str">
        <x:v>quirk: careful</x:v>
      </x:c>
      <x:c r="S628" s="12" t="str">
        <x:v>44724d4e2ec5</x:v>
      </x:c>
      <x:c r="T628" s="12" t="n">
        <x:f>COUNTIF($S$2:$S$757,S628)</x:f>
        <x:v>1</x:v>
      </x:c>
      <x:c r="U628" s="12" t="str">
        <x:f>IF(T628=1,"OK","DUPLICATE")</x:f>
        <x:v>OK</x:v>
      </x:c>
    </x:row>
    <x:row r="629" ht="26.399999618530273" hidden="0" customHeight="1">
      <x:c r="A629" s="12" t="str">
        <x:v>Websilk Turban</x:v>
      </x:c>
      <x:c r="B629" s="12" t="str">
        <x:v>SILK TURBAN</x:v>
      </x:c>
      <x:c r="C629" s="12" t="str">
        <x:v>head</x:v>
      </x:c>
      <x:c r="D629" s="12" t="str">
        <x:v>armor</x:v>
      </x:c>
      <x:c r="E629" s="12" t="str">
        <x:v>mid</x:v>
      </x:c>
      <x:c r="F629" s="12" t="str">
        <x:v>uncommon</x:v>
      </x:c>
      <x:c r="G629" s="12" t="str">
        <x:v>Websilk Turban — Fitted Plate</x:v>
      </x:c>
      <x:c r="H629" s="34" t="n">
        <x:v>2</x:v>
      </x:c>
      <x:c r="I629" s="34" t="str">
        <x:v>reaction</x:v>
      </x:c>
      <x:c r="J629" s="34" t="str"/>
      <x:c r="K629" s="34" t="str"/>
      <x:c r="L629" s="34" t="n">
        <x:v>5</x:v>
      </x:c>
      <x:c r="M629" s="12" t="str"/>
      <x:c r="N629" s="12" t="str">
        <x:v>Defensive, Party, WoundCare, Reaction</x:v>
      </x:c>
      <x:c r="O629" s="12" t="str">
        <x:v>After damage is previewed, prevent 5 damage. Then give the next ally Guarded 2.</x:v>
      </x:c>
      <x:c r="P629" s="12" t="str">
        <x:v>After incoming damage is previewed, prevent 5 damage with the head slot. Then the next ally gains Guarded 2. If you deal no HP damage, gain +2 break damage.</x:v>
      </x:c>
      <x:c r="Q629" s="12" t="str"/>
      <x:c r="R629" s="12" t="str">
        <x:v>quirk: careful</x:v>
      </x:c>
      <x:c r="S629" s="12" t="str">
        <x:v>5f30a4d09966</x:v>
      </x:c>
      <x:c r="T629" s="12" t="n">
        <x:f>COUNTIF($S$2:$S$757,S629)</x:f>
        <x:v>1</x:v>
      </x:c>
      <x:c r="U629" s="12" t="str">
        <x:f>IF(T629=1,"OK","DUPLICATE")</x:f>
        <x:v>OK</x:v>
      </x:c>
    </x:row>
    <x:row r="630" ht="39.599998474121094" hidden="0" customHeight="1">
      <x:c r="A630" s="12" t="str">
        <x:v>Websilk Whip</x:v>
      </x:c>
      <x:c r="B630" s="12" t="str">
        <x:v>SILK WHIP</x:v>
      </x:c>
      <x:c r="C630" s="12" t="str">
        <x:v>weapon</x:v>
      </x:c>
      <x:c r="D630" s="12" t="str">
        <x:v>whip</x:v>
      </x:c>
      <x:c r="E630" s="12" t="str">
        <x:v>mid</x:v>
      </x:c>
      <x:c r="F630" s="12" t="str">
        <x:v>uncommon</x:v>
      </x:c>
      <x:c r="G630" s="12" t="str">
        <x:v>Websilk Whip — Opening Strike</x:v>
      </x:c>
      <x:c r="H630" s="34" t="n">
        <x:v>1</x:v>
      </x:c>
      <x:c r="I630" s="34" t="str">
        <x:v>attack</x:v>
      </x:c>
      <x:c r="J630" s="34" t="n">
        <x:v>3</x:v>
      </x:c>
      <x:c r="K630" s="34" t="n">
        <x:v>2</x:v>
      </x:c>
      <x:c r="L630" s="34" t="str"/>
      <x:c r="M630" s="12" t="str">
        <x:v>Snared 2 | Target: Spidicules</x:v>
      </x:c>
      <x:c r="N630" s="12" t="str">
        <x:v>Reach, Marking, WeakPoint, Attack</x:v>
      </x:c>
      <x:c r="O630" s="12" t="str">
        <x:v>Deal 3 damage. Apply Snared 2 if the target has a Spidicules weak point, otherwise gain Marked 1.</x:v>
      </x:c>
      <x:c r="P630" s="12" t="str">
        <x:v>Deal 3 damage with Websilk Whip. Apply Snared 2 against a matching Spidicules weak point; otherwise apply Marked 1. If played after blocking, your next Counter gains +2 damage.</x:v>
      </x:c>
      <x:c r="Q630" s="12" t="str"/>
      <x:c r="R630" s="12" t="str">
        <x:v>quirk: counterReady</x:v>
      </x:c>
      <x:c r="S630" s="12" t="str">
        <x:v>b3f0d96a0ad4</x:v>
      </x:c>
      <x:c r="T630" s="12" t="n">
        <x:f>COUNTIF($S$2:$S$757,S630)</x:f>
        <x:v>1</x:v>
      </x:c>
      <x:c r="U630" s="12" t="str">
        <x:f>IF(T630=1,"OK","DUPLICATE")</x:f>
        <x:v>OK</x:v>
      </x:c>
    </x:row>
    <x:row r="631" ht="26.399999618530273" hidden="0" customHeight="1">
      <x:c r="A631" s="12" t="str">
        <x:v>Websilk Whip</x:v>
      </x:c>
      <x:c r="B631" s="12" t="str">
        <x:v>SILK WHIP</x:v>
      </x:c>
      <x:c r="C631" s="12" t="str">
        <x:v>weapon</x:v>
      </x:c>
      <x:c r="D631" s="12" t="str">
        <x:v>whip</x:v>
      </x:c>
      <x:c r="E631" s="12" t="str">
        <x:v>mid</x:v>
      </x:c>
      <x:c r="F631" s="12" t="str">
        <x:v>uncommon</x:v>
      </x:c>
      <x:c r="G631" s="12" t="str">
        <x:v>Websilk Whip — Technique</x:v>
      </x:c>
      <x:c r="H631" s="34" t="n">
        <x:v>1</x:v>
      </x:c>
      <x:c r="I631" s="34" t="str">
        <x:v>skill</x:v>
      </x:c>
      <x:c r="J631" s="34" t="str"/>
      <x:c r="K631" s="34" t="str"/>
      <x:c r="L631" s="34" t="n">
        <x:v>3</x:v>
      </x:c>
      <x:c r="M631" s="12" t="str">
        <x:v>Opens: True</x:v>
      </x:c>
      <x:c r="N631" s="12" t="str">
        <x:v>Reach, Marking, WeakPoint, Setup</x:v>
      </x:c>
      <x:c r="O631" s="12" t="str">
        <x:v>Hook a limb; apply Snared 2, then Open a limb weak point if present. Also gain 3 block.</x:v>
      </x:c>
      <x:c r="P631" s="12" t="str">
        <x:v>Hook a limb; apply Snared 2, then Open a limb weak point if present. Gain 3 block. If played after blocking, your next Counter gains +2 damage.</x:v>
      </x:c>
      <x:c r="Q631" s="12" t="str"/>
      <x:c r="R631" s="12" t="str">
        <x:v>quirk: counterReady</x:v>
      </x:c>
      <x:c r="S631" s="12" t="str">
        <x:v>a66a96695627</x:v>
      </x:c>
      <x:c r="T631" s="12" t="n">
        <x:f>COUNTIF($S$2:$S$757,S631)</x:f>
        <x:v>1</x:v>
      </x:c>
      <x:c r="U631" s="12" t="str">
        <x:f>IF(T631=1,"OK","DUPLICATE")</x:f>
        <x:v>OK</x:v>
      </x:c>
    </x:row>
    <x:row r="632" ht="26.399999618530273" hidden="0" customHeight="1">
      <x:c r="A632" s="12" t="str">
        <x:v>Websilk Whip</x:v>
      </x:c>
      <x:c r="B632" s="12" t="str">
        <x:v>SILK WHIP</x:v>
      </x:c>
      <x:c r="C632" s="12" t="str">
        <x:v>weapon</x:v>
      </x:c>
      <x:c r="D632" s="12" t="str">
        <x:v>whip</x:v>
      </x:c>
      <x:c r="E632" s="12" t="str">
        <x:v>mid</x:v>
      </x:c>
      <x:c r="F632" s="12" t="str">
        <x:v>uncommon</x:v>
      </x:c>
      <x:c r="G632" s="12" t="str">
        <x:v>Websilk Whip — Payoff</x:v>
      </x:c>
      <x:c r="H632" s="34" t="n">
        <x:v>2</x:v>
      </x:c>
      <x:c r="I632" s="34" t="str">
        <x:v>attack</x:v>
      </x:c>
      <x:c r="J632" s="34" t="n">
        <x:v>7</x:v>
      </x:c>
      <x:c r="K632" s="34" t="n">
        <x:v>3</x:v>
      </x:c>
      <x:c r="L632" s="34" t="str"/>
      <x:c r="M632" s="12" t="str">
        <x:v>Snared 1</x:v>
      </x:c>
      <x:c r="N632" s="12" t="str">
        <x:v>Reach, Marking, WeakPoint, Payoff</x:v>
      </x:c>
      <x:c r="O632" s="12" t="str">
        <x:v>Deal 7 damage and 3 break damage. If this breaks a weak point, resolve Snared 1 and the counterReady rider.</x:v>
      </x:c>
      <x:c r="P632" s="12" t="str">
        <x:v>Deal 7 damage and 3 break damage. If the weak point breaks, apply Snared 1 and resolve: If played after blocking, your next Counter gains +2 damage.</x:v>
      </x:c>
      <x:c r="Q632" s="12" t="str"/>
      <x:c r="R632" s="12" t="str">
        <x:v>quirk: counterReady | countsAsCounter False, firstCounterFree False</x:v>
      </x:c>
      <x:c r="S632" s="12" t="str">
        <x:v>a55352c85afe</x:v>
      </x:c>
      <x:c r="T632" s="12" t="n">
        <x:f>COUNTIF($S$2:$S$757,S632)</x:f>
        <x:v>1</x:v>
      </x:c>
      <x:c r="U632" s="12" t="str">
        <x:f>IF(T632=1,"OK","DUPLICATE")</x:f>
        <x:v>OK</x:v>
      </x:c>
    </x:row>
    <x:row r="633" ht="39.599998474121094" hidden="0" customHeight="1">
      <x:c r="A633" s="12" t="str">
        <x:v>Websilk Wraps</x:v>
      </x:c>
      <x:c r="B633" s="12" t="str">
        <x:v>SILK WRAPS</x:v>
      </x:c>
      <x:c r="C633" s="12" t="str">
        <x:v>arms</x:v>
      </x:c>
      <x:c r="D633" s="12" t="str">
        <x:v>armor</x:v>
      </x:c>
      <x:c r="E633" s="12" t="str">
        <x:v>mid</x:v>
      </x:c>
      <x:c r="F633" s="12" t="str">
        <x:v>uncommon</x:v>
      </x:c>
      <x:c r="G633" s="12" t="str">
        <x:v>Websilk Wraps — Brace</x:v>
      </x:c>
      <x:c r="H633" s="34" t="n">
        <x:v>1</x:v>
      </x:c>
      <x:c r="I633" s="34" t="str">
        <x:v>skill</x:v>
      </x:c>
      <x:c r="J633" s="34" t="str"/>
      <x:c r="K633" s="34" t="str"/>
      <x:c r="L633" s="34" t="n">
        <x:v>6</x:v>
      </x:c>
      <x:c r="M633" s="12" t="str"/>
      <x:c r="N633" s="12" t="str">
        <x:v>Defensive, Party, WoundCare</x:v>
      </x:c>
      <x:c r="O633" s="12" t="str">
        <x:v>Gain 6 block and Guarded 3. If hit before your next turn, reduce Snared or Panic by 1.</x:v>
      </x:c>
      <x:c r="P633" s="12" t="str">
        <x:v>Gain 6 block and Guarded 3. If the next monster hit lands before your next turn, reduce Snared or Panic by 1 after damage. If you have no Bleed, Poison or Burn, add +1 to all listed values.</x:v>
      </x:c>
      <x:c r="Q633" s="12" t="str"/>
      <x:c r="R633" s="12" t="str">
        <x:v>quirk: cleanHands</x:v>
      </x:c>
      <x:c r="S633" s="12" t="str">
        <x:v>9b7940f61365</x:v>
      </x:c>
      <x:c r="T633" s="12" t="n">
        <x:f>COUNTIF($S$2:$S$757,S633)</x:f>
        <x:v>1</x:v>
      </x:c>
      <x:c r="U633" s="12" t="str">
        <x:f>IF(T633=1,"OK","DUPLICATE")</x:f>
        <x:v>OK</x:v>
      </x:c>
    </x:row>
    <x:row r="634" ht="39.599998474121094" hidden="0" customHeight="1">
      <x:c r="A634" s="12" t="str">
        <x:v>Websilk Wraps</x:v>
      </x:c>
      <x:c r="B634" s="12" t="str">
        <x:v>SILK WRAPS</x:v>
      </x:c>
      <x:c r="C634" s="12" t="str">
        <x:v>arms</x:v>
      </x:c>
      <x:c r="D634" s="12" t="str">
        <x:v>armor</x:v>
      </x:c>
      <x:c r="E634" s="12" t="str">
        <x:v>mid</x:v>
      </x:c>
      <x:c r="F634" s="12" t="str">
        <x:v>uncommon</x:v>
      </x:c>
      <x:c r="G634" s="12" t="str">
        <x:v>Websilk Wraps — Fitted Plate</x:v>
      </x:c>
      <x:c r="H634" s="34" t="n">
        <x:v>2</x:v>
      </x:c>
      <x:c r="I634" s="34" t="str">
        <x:v>reaction</x:v>
      </x:c>
      <x:c r="J634" s="34" t="str"/>
      <x:c r="K634" s="34" t="str"/>
      <x:c r="L634" s="34" t="n">
        <x:v>9</x:v>
      </x:c>
      <x:c r="M634" s="12" t="str"/>
      <x:c r="N634" s="12" t="str">
        <x:v>Defensive, Party, WoundCare, Reaction</x:v>
      </x:c>
      <x:c r="O634" s="12" t="str">
        <x:v>After damage is previewed, prevent 9 damage. Then give the next ally Guarded 2.</x:v>
      </x:c>
      <x:c r="P634" s="12" t="str">
        <x:v>After incoming damage is previewed, prevent 9 damage with the arms slot. Then the next ally gains Guarded 2. If you have no Bleed, Poison or Burn, add +1 to all listed values.</x:v>
      </x:c>
      <x:c r="Q634" s="12" t="str"/>
      <x:c r="R634" s="12" t="str">
        <x:v>quirk: cleanHands</x:v>
      </x:c>
      <x:c r="S634" s="12" t="str">
        <x:v>44b01d67b11d</x:v>
      </x:c>
      <x:c r="T634" s="12" t="n">
        <x:f>COUNTIF($S$2:$S$757,S634)</x:f>
        <x:v>1</x:v>
      </x:c>
      <x:c r="U634" s="12" t="str">
        <x:f>IF(T634=1,"OK","DUPLICATE")</x:f>
        <x:v>OK</x:v>
      </x:c>
    </x:row>
    <x:row r="635" ht="39.599998474121094" hidden="0" customHeight="1">
      <x:c r="A635" s="12" t="str">
        <x:v>Websilken Armor Set</x:v>
      </x:c>
      <x:c r="B635" s="12" t="str">
        <x:v>SILKEN ARMOR SET</x:v>
      </x:c>
      <x:c r="C635" s="12" t="str">
        <x:v>set</x:v>
      </x:c>
      <x:c r="D635" s="12" t="str">
        <x:v>armor</x:v>
      </x:c>
      <x:c r="E635" s="12" t="str">
        <x:v>mid</x:v>
      </x:c>
      <x:c r="F635" s="12" t="str">
        <x:v>uncommon</x:v>
      </x:c>
      <x:c r="G635" s="12" t="str">
        <x:v>Websilken Armor Set — Brace</x:v>
      </x:c>
      <x:c r="H635" s="34" t="n">
        <x:v>1</x:v>
      </x:c>
      <x:c r="I635" s="34" t="str">
        <x:v>skill</x:v>
      </x:c>
      <x:c r="J635" s="34" t="str"/>
      <x:c r="K635" s="34" t="str"/>
      <x:c r="L635" s="34" t="n">
        <x:v>3</x:v>
      </x:c>
      <x:c r="M635" s="12" t="str"/>
      <x:c r="N635" s="12" t="str">
        <x:v>Defensive, Party, WoundCare</x:v>
      </x:c>
      <x:c r="O635" s="12" t="str">
        <x:v>Gain 3 block and Guarded 1. If hit before your next turn, reduce Snared or Panic by 1.</x:v>
      </x:c>
      <x:c r="P635" s="12" t="str">
        <x:v>Gain 3 block and Guarded 1. If the next monster hit lands before your next turn, reduce Snared or Panic by 1 after damage. If this would drop you to 0 HP, resolve the card first, then die if still at 0 HP.</x:v>
      </x:c>
      <x:c r="Q635" s="12" t="str"/>
      <x:c r="R635" s="12" t="str">
        <x:v>quirk: lastLight</x:v>
      </x:c>
      <x:c r="S635" s="12" t="str">
        <x:v>dce85443d7ba</x:v>
      </x:c>
      <x:c r="T635" s="12" t="n">
        <x:f>COUNTIF($S$2:$S$757,S635)</x:f>
        <x:v>1</x:v>
      </x:c>
      <x:c r="U635" s="12" t="str">
        <x:f>IF(T635=1,"OK","DUPLICATE")</x:f>
        <x:v>OK</x:v>
      </x:c>
    </x:row>
    <x:row r="636" ht="39.599998474121094" hidden="0" customHeight="1">
      <x:c r="A636" s="12" t="str">
        <x:v>Websilken Armor Set</x:v>
      </x:c>
      <x:c r="B636" s="12" t="str">
        <x:v>SILKEN ARMOR SET</x:v>
      </x:c>
      <x:c r="C636" s="12" t="str">
        <x:v>set</x:v>
      </x:c>
      <x:c r="D636" s="12" t="str">
        <x:v>armor</x:v>
      </x:c>
      <x:c r="E636" s="12" t="str">
        <x:v>mid</x:v>
      </x:c>
      <x:c r="F636" s="12" t="str">
        <x:v>uncommon</x:v>
      </x:c>
      <x:c r="G636" s="12" t="str">
        <x:v>Websilken Armor Set — Setline</x:v>
      </x:c>
      <x:c r="H636" s="34" t="n">
        <x:v>1</x:v>
      </x:c>
      <x:c r="I636" s="34" t="str">
        <x:v>reaction</x:v>
      </x:c>
      <x:c r="J636" s="34" t="str"/>
      <x:c r="K636" s="34" t="str"/>
      <x:c r="L636" s="34" t="n">
        <x:v>4</x:v>
      </x:c>
      <x:c r="M636" s="12" t="str"/>
      <x:c r="N636" s="12" t="str">
        <x:v>Defensive, Party, WoundCare, Reaction</x:v>
      </x:c>
      <x:c r="O636" s="12" t="str">
        <x:v>After damage is previewed, prevent 4 damage. Then give the next ally Guarded 2.</x:v>
      </x:c>
      <x:c r="P636" s="12" t="str">
        <x:v>After incoming damage is previewed, prevent 4 damage with the set slot. Then the next ally gains Guarded 2. If this would drop you to 0 HP, resolve the card first, then die if still at 0 HP.</x:v>
      </x:c>
      <x:c r="Q636" s="12" t="str"/>
      <x:c r="R636" s="12" t="str">
        <x:v>quirk: lastLight</x:v>
      </x:c>
      <x:c r="S636" s="12" t="str">
        <x:v>513aac7a62d8</x:v>
      </x:c>
      <x:c r="T636" s="12" t="n">
        <x:f>COUNTIF($S$2:$S$757,S636)</x:f>
        <x:v>1</x:v>
      </x:c>
      <x:c r="U636" s="12" t="str">
        <x:f>IF(T636=1,"OK","DUPLICATE")</x:f>
        <x:v>OK</x:v>
      </x:c>
    </x:row>
    <x:row r="637" ht="39.599998474121094" hidden="0" customHeight="1">
      <x:c r="A637" s="12" t="str">
        <x:v>Silver Harp</x:v>
      </x:c>
      <x:c r="B637" s="12" t="str">
        <x:v>SILVER HARP</x:v>
      </x:c>
      <x:c r="C637" s="12" t="str">
        <x:v>weapon</x:v>
      </x:c>
      <x:c r="D637" s="12" t="str">
        <x:v>bow</x:v>
      </x:c>
      <x:c r="E637" s="12" t="str">
        <x:v>early</x:v>
      </x:c>
      <x:c r="F637" s="12" t="str">
        <x:v>uncommon</x:v>
      </x:c>
      <x:c r="G637" s="12" t="str">
        <x:v>Silver Harp — Opening Strike</x:v>
      </x:c>
      <x:c r="H637" s="34" t="n">
        <x:v>1</x:v>
      </x:c>
      <x:c r="I637" s="34" t="str">
        <x:v>attack</x:v>
      </x:c>
      <x:c r="J637" s="34" t="n">
        <x:v>3</x:v>
      </x:c>
      <x:c r="K637" s="34" t="n">
        <x:v>2</x:v>
      </x:c>
      <x:c r="L637" s="34" t="str"/>
      <x:c r="M637" s="12" t="str">
        <x:v>Bleed 2 | Target: White Lion</x:v>
      </x:c>
      <x:c r="N637" s="12" t="str">
        <x:v>Ranged, Marking, Precise, Attack</x:v>
      </x:c>
      <x:c r="O637" s="12" t="str">
        <x:v>Deal 3 damage. Apply Bleed 2 if the target has a White Lion weak point, otherwise gain Marked 1.</x:v>
      </x:c>
      <x:c r="P637" s="12" t="str">
        <x:v>Deal 3 damage with Silver Harp. Apply Bleed 2 against a matching White Lion weak point; otherwise apply Marked 1. The quarry targets this survivor next unless another card redirects it.</x:v>
      </x:c>
      <x:c r="Q637" s="12" t="str"/>
      <x:c r="R637" s="12" t="str">
        <x:v>quirk: bait</x:v>
      </x:c>
      <x:c r="S637" s="12" t="str">
        <x:v>6be1a837c0ee</x:v>
      </x:c>
      <x:c r="T637" s="12" t="n">
        <x:f>COUNTIF($S$2:$S$757,S637)</x:f>
        <x:v>1</x:v>
      </x:c>
      <x:c r="U637" s="12" t="str">
        <x:f>IF(T637=1,"OK","DUPLICATE")</x:f>
        <x:v>OK</x:v>
      </x:c>
    </x:row>
    <x:row r="638" ht="26.399999618530273" hidden="0" customHeight="1">
      <x:c r="A638" s="12" t="str">
        <x:v>Silver Harp</x:v>
      </x:c>
      <x:c r="B638" s="12" t="str">
        <x:v>SILVER HARP</x:v>
      </x:c>
      <x:c r="C638" s="12" t="str">
        <x:v>weapon</x:v>
      </x:c>
      <x:c r="D638" s="12" t="str">
        <x:v>bow</x:v>
      </x:c>
      <x:c r="E638" s="12" t="str">
        <x:v>early</x:v>
      </x:c>
      <x:c r="F638" s="12" t="str">
        <x:v>uncommon</x:v>
      </x:c>
      <x:c r="G638" s="12" t="str">
        <x:v>Silver Harp — Technique</x:v>
      </x:c>
      <x:c r="H638" s="34" t="n">
        <x:v>2</x:v>
      </x:c>
      <x:c r="I638" s="34" t="str">
        <x:v>skill</x:v>
      </x:c>
      <x:c r="J638" s="34" t="str"/>
      <x:c r="K638" s="34" t="str"/>
      <x:c r="L638" s="34" t="n">
        <x:v>3</x:v>
      </x:c>
      <x:c r="M638" s="12" t="str">
        <x:v>Opens: True</x:v>
      </x:c>
      <x:c r="N638" s="12" t="str">
        <x:v>Ranged, Marking, Precise, Setup</x:v>
      </x:c>
      <x:c r="O638" s="12" t="str">
        <x:v>Mark a wing, eye or distant weak point; ranged attacks ignore Guarded 1. Also gain 3 block.</x:v>
      </x:c>
      <x:c r="P638" s="12" t="str">
        <x:v>Mark a wing, eye or distant weak point; ranged attacks ignore Guarded 1. gain 3 block. The quarry targets this survivor next unless another card redirects it.</x:v>
      </x:c>
      <x:c r="Q638" s="12" t="str"/>
      <x:c r="R638" s="12" t="str">
        <x:v>quirk: bait</x:v>
      </x:c>
      <x:c r="S638" s="12" t="str">
        <x:v>ea105881f858</x:v>
      </x:c>
      <x:c r="T638" s="12" t="n">
        <x:f>COUNTIF($S$2:$S$757,S638)</x:f>
        <x:v>1</x:v>
      </x:c>
      <x:c r="U638" s="12" t="str">
        <x:f>IF(T638=1,"OK","DUPLICATE")</x:f>
        <x:v>OK</x:v>
      </x:c>
    </x:row>
    <x:row r="639" ht="26.399999618530273" hidden="0" customHeight="1">
      <x:c r="A639" s="12" t="str">
        <x:v>Silver Harp</x:v>
      </x:c>
      <x:c r="B639" s="12" t="str">
        <x:v>SILVER HARP</x:v>
      </x:c>
      <x:c r="C639" s="12" t="str">
        <x:v>weapon</x:v>
      </x:c>
      <x:c r="D639" s="12" t="str">
        <x:v>bow</x:v>
      </x:c>
      <x:c r="E639" s="12" t="str">
        <x:v>early</x:v>
      </x:c>
      <x:c r="F639" s="12" t="str">
        <x:v>uncommon</x:v>
      </x:c>
      <x:c r="G639" s="12" t="str">
        <x:v>Silver Harp — Payoff</x:v>
      </x:c>
      <x:c r="H639" s="34" t="n">
        <x:v>2</x:v>
      </x:c>
      <x:c r="I639" s="34" t="str">
        <x:v>attack</x:v>
      </x:c>
      <x:c r="J639" s="34" t="n">
        <x:v>5</x:v>
      </x:c>
      <x:c r="K639" s="34" t="n">
        <x:v>3</x:v>
      </x:c>
      <x:c r="L639" s="34" t="str"/>
      <x:c r="M639" s="12" t="str">
        <x:v>Bleed 1</x:v>
      </x:c>
      <x:c r="N639" s="12" t="str">
        <x:v>Ranged, Marking, Precise, Payoff, WeakPoint</x:v>
      </x:c>
      <x:c r="O639" s="12" t="str">
        <x:v>Deal 5 damage and 3 break damage. If this breaks a weak point, resolve Bleed 1 and the bait rider.</x:v>
      </x:c>
      <x:c r="P639" s="12" t="str">
        <x:v>Deal 5 damage and 3 break damage. If the weak point breaks, apply Bleed 1 and resolve: The quarry targets this survivor next unless another card redirects it.</x:v>
      </x:c>
      <x:c r="Q639" s="12" t="str"/>
      <x:c r="R639" s="12" t="str">
        <x:v>quirk: bait | countsAsCounter False, firstCounterFree False</x:v>
      </x:c>
      <x:c r="S639" s="12" t="str">
        <x:v>19bf1bf7304c</x:v>
      </x:c>
      <x:c r="T639" s="12" t="n">
        <x:f>COUNTIF($S$2:$S$757,S639)</x:f>
        <x:v>1</x:v>
      </x:c>
      <x:c r="U639" s="12" t="str">
        <x:f>IF(T639=1,"OK","DUPLICATE")</x:f>
        <x:v>OK</x:v>
      </x:c>
    </x:row>
    <x:row r="640" ht="39.599998474121094" hidden="0" customHeight="1">
      <x:c r="A640" s="12" t="str">
        <x:v>Skleaver</x:v>
      </x:c>
      <x:c r="B640" s="12" t="str">
        <x:v>SKLEAVER</x:v>
      </x:c>
      <x:c r="C640" s="12" t="str">
        <x:v>tool</x:v>
      </x:c>
      <x:c r="D640" s="12" t="str">
        <x:v>tool</x:v>
      </x:c>
      <x:c r="E640" s="12" t="str">
        <x:v>mid</x:v>
      </x:c>
      <x:c r="F640" s="12" t="str">
        <x:v>uncommon</x:v>
      </x:c>
      <x:c r="G640" s="12" t="str">
        <x:v>Skleaver — Use</x:v>
      </x:c>
      <x:c r="H640" s="34" t="n">
        <x:v>1</x:v>
      </x:c>
      <x:c r="I640" s="34" t="str">
        <x:v>skill</x:v>
      </x:c>
      <x:c r="J640" s="34" t="str"/>
      <x:c r="K640" s="34" t="str"/>
      <x:c r="L640" s="34" t="str"/>
      <x:c r="M640" s="12" t="str">
        <x:v>Marked 3</x:v>
      </x:c>
      <x:c r="N640" s="12" t="str">
        <x:v>Tool, Harvest, Retreat</x:v>
      </x:c>
      <x:c r="O640" s="12" t="str">
        <x:v>Gain +4 to the next harvest, retreat, or weak-point test. If it fails, apply Marked 3 to the quarry or clear it from a survivor.</x:v>
      </x:c>
      <x:c r="P640" s="12" t="str">
        <x:v>Gain +4 to the next harvest, retreat, or weak-point test linked to Sky Reef Sanctuary. On failure, either apply Marked 3 to the quarry or clear that status from a survivor. You may gain Panic 1 to increase the listed number by 2.</x:v>
      </x:c>
      <x:c r="Q640" s="12" t="str"/>
      <x:c r="R640" s="12" t="str">
        <x:v>quirk: panicBrake</x:v>
      </x:c>
      <x:c r="S640" s="12" t="str">
        <x:v>d5135af854e8</x:v>
      </x:c>
      <x:c r="T640" s="12" t="n">
        <x:f>COUNTIF($S$2:$S$757,S640)</x:f>
        <x:v>1</x:v>
      </x:c>
      <x:c r="U640" s="12" t="str">
        <x:f>IF(T640=1,"OK","DUPLICATE")</x:f>
        <x:v>OK</x:v>
      </x:c>
    </x:row>
    <x:row r="641" ht="39.599998474121094" hidden="0" customHeight="1">
      <x:c r="A641" s="12" t="str">
        <x:v>Skleaver</x:v>
      </x:c>
      <x:c r="B641" s="12" t="str">
        <x:v>SKLEAVER</x:v>
      </x:c>
      <x:c r="C641" s="12" t="str">
        <x:v>tool</x:v>
      </x:c>
      <x:c r="D641" s="12" t="str">
        <x:v>tool</x:v>
      </x:c>
      <x:c r="E641" s="12" t="str">
        <x:v>mid</x:v>
      </x:c>
      <x:c r="F641" s="12" t="str">
        <x:v>uncommon</x:v>
      </x:c>
      <x:c r="G641" s="12" t="str">
        <x:v>Skleaver — Contingency</x:v>
      </x:c>
      <x:c r="H641" s="34" t="n">
        <x:v>1</x:v>
      </x:c>
      <x:c r="I641" s="34" t="str">
        <x:v>reaction</x:v>
      </x:c>
      <x:c r="J641" s="34" t="str"/>
      <x:c r="K641" s="34" t="str"/>
      <x:c r="L641" s="34" t="str"/>
      <x:c r="M641" s="12" t="str"/>
      <x:c r="N641" s="12" t="str">
        <x:v>Tool, Harvest, Retreat</x:v>
      </x:c>
      <x:c r="O641" s="12" t="str">
        <x:v>When a hunt or monster consequence is previewed, reduce it by 4; on retreat, preserve 1 gathered resource; If the quarry is Marked, draw 1 then discard 1.</x:v>
      </x:c>
      <x:c r="P641" s="12" t="str">
        <x:v>When a hunt event, retreat roll, or monster consequence is previewed, reduce the penalty by 4. If retreating, preserve 1 gathered resource. You may gain Panic 1 to increase the listed number by 2. If the quarry is Marked, draw 1 then discard 1.</x:v>
      </x:c>
      <x:c r="Q641" s="12" t="str"/>
      <x:c r="R641" s="12" t="str">
        <x:v>quirk: panicBrake+markedFocus | uniqueRider:markedFocus</x:v>
      </x:c>
      <x:c r="S641" s="12" t="str">
        <x:v>277be64f7044</x:v>
      </x:c>
      <x:c r="T641" s="12" t="n">
        <x:f>COUNTIF($S$2:$S$757,S641)</x:f>
        <x:v>1</x:v>
      </x:c>
      <x:c r="U641" s="12" t="str">
        <x:f>IF(T641=1,"OK","DUPLICATE")</x:f>
        <x:v>OK</x:v>
      </x:c>
    </x:row>
    <x:row r="642" ht="39.599998474121094" hidden="0" customHeight="1">
      <x:c r="A642" s="12" t="str">
        <x:v>Skull Crown</x:v>
      </x:c>
      <x:c r="B642" s="12" t="str">
        <x:v>SKULL HELM</x:v>
      </x:c>
      <x:c r="C642" s="12" t="str">
        <x:v>head</x:v>
      </x:c>
      <x:c r="D642" s="12" t="str">
        <x:v>armor</x:v>
      </x:c>
      <x:c r="E642" s="12" t="str">
        <x:v>early</x:v>
      </x:c>
      <x:c r="F642" s="12" t="str">
        <x:v>uncommon</x:v>
      </x:c>
      <x:c r="G642" s="12" t="str">
        <x:v>Skull Crown — Brace</x:v>
      </x:c>
      <x:c r="H642" s="34" t="n">
        <x:v>1</x:v>
      </x:c>
      <x:c r="I642" s="34" t="str">
        <x:v>skill</x:v>
      </x:c>
      <x:c r="J642" s="34" t="str"/>
      <x:c r="K642" s="34" t="str"/>
      <x:c r="L642" s="34" t="n">
        <x:v>5</x:v>
      </x:c>
      <x:c r="M642" s="12" t="str"/>
      <x:c r="N642" s="12" t="str">
        <x:v>Defensive, Party, WoundCare</x:v>
      </x:c>
      <x:c r="O642" s="12" t="str">
        <x:v>Gain 5 block and Guarded 1. If hit before your next turn, reduce Bleed or Panic by 1.</x:v>
      </x:c>
      <x:c r="P642" s="12" t="str">
        <x:v>Gain 5 block and Guarded 1. If the next monster hit lands before your next turn, reduce Bleed or Panic by 1 after damage. If the quarry is below half HP, add +1 break damage.</x:v>
      </x:c>
      <x:c r="Q642" s="12" t="str"/>
      <x:c r="R642" s="12" t="str">
        <x:v>quirk: bloodied</x:v>
      </x:c>
      <x:c r="S642" s="12" t="str">
        <x:v>9e2833d66328</x:v>
      </x:c>
      <x:c r="T642" s="12" t="n">
        <x:f>COUNTIF($S$2:$S$757,S642)</x:f>
        <x:v>1</x:v>
      </x:c>
      <x:c r="U642" s="12" t="str">
        <x:f>IF(T642=1,"OK","DUPLICATE")</x:f>
        <x:v>OK</x:v>
      </x:c>
    </x:row>
    <x:row r="643" ht="26.399999618530273" hidden="0" customHeight="1">
      <x:c r="A643" s="12" t="str">
        <x:v>Skull Crown</x:v>
      </x:c>
      <x:c r="B643" s="12" t="str">
        <x:v>SKULL HELM</x:v>
      </x:c>
      <x:c r="C643" s="12" t="str">
        <x:v>head</x:v>
      </x:c>
      <x:c r="D643" s="12" t="str">
        <x:v>armor</x:v>
      </x:c>
      <x:c r="E643" s="12" t="str">
        <x:v>early</x:v>
      </x:c>
      <x:c r="F643" s="12" t="str">
        <x:v>uncommon</x:v>
      </x:c>
      <x:c r="G643" s="12" t="str">
        <x:v>Skull Crown — Fitted Plate</x:v>
      </x:c>
      <x:c r="H643" s="34" t="n">
        <x:v>2</x:v>
      </x:c>
      <x:c r="I643" s="34" t="str">
        <x:v>reaction</x:v>
      </x:c>
      <x:c r="J643" s="34" t="str"/>
      <x:c r="K643" s="34" t="str"/>
      <x:c r="L643" s="34" t="n">
        <x:v>6</x:v>
      </x:c>
      <x:c r="M643" s="12" t="str"/>
      <x:c r="N643" s="12" t="str">
        <x:v>Defensive, Party, WoundCare, Reaction</x:v>
      </x:c>
      <x:c r="O643" s="12" t="str">
        <x:v>After damage is previewed, prevent 6 damage. Then give the next ally Guarded 1.</x:v>
      </x:c>
      <x:c r="P643" s="12" t="str">
        <x:v>After incoming damage is previewed, prevent 6 damage with the head slot. Then the next ally gains Guarded 1. If the quarry is below half HP, add +1 break damage.</x:v>
      </x:c>
      <x:c r="Q643" s="12" t="str"/>
      <x:c r="R643" s="12" t="str">
        <x:v>quirk: bloodied</x:v>
      </x:c>
      <x:c r="S643" s="12" t="str">
        <x:v>83211525c810</x:v>
      </x:c>
      <x:c r="T643" s="12" t="n">
        <x:f>COUNTIF($S$2:$S$757,S643)</x:f>
        <x:v>1</x:v>
      </x:c>
      <x:c r="U643" s="12" t="str">
        <x:f>IF(T643=1,"OK","DUPLICATE")</x:f>
        <x:v>OK</x:v>
      </x:c>
    </x:row>
    <x:row r="644" ht="39.599998474121094" hidden="0" customHeight="1">
      <x:c r="A644" s="12" t="str">
        <x:v>Skullcap Hammer</x:v>
      </x:c>
      <x:c r="B644" s="12" t="str">
        <x:v>SKULLCAP HAMMER</x:v>
      </x:c>
      <x:c r="C644" s="12" t="str">
        <x:v>weapon</x:v>
      </x:c>
      <x:c r="D644" s="12" t="str">
        <x:v>hammer</x:v>
      </x:c>
      <x:c r="E644" s="12" t="str">
        <x:v>early</x:v>
      </x:c>
      <x:c r="F644" s="12" t="str">
        <x:v>uncommon</x:v>
      </x:c>
      <x:c r="G644" s="12" t="str">
        <x:v>Skullcap Hammer — Opening Strike</x:v>
      </x:c>
      <x:c r="H644" s="34" t="n">
        <x:v>1</x:v>
      </x:c>
      <x:c r="I644" s="34" t="str">
        <x:v>attack</x:v>
      </x:c>
      <x:c r="J644" s="34" t="n">
        <x:v>3</x:v>
      </x:c>
      <x:c r="K644" s="34" t="n">
        <x:v>4</x:v>
      </x:c>
      <x:c r="L644" s="34" t="str"/>
      <x:c r="M644" s="12" t="str">
        <x:v>Burn 2 | Target: Settlement</x:v>
      </x:c>
      <x:c r="N644" s="12" t="str">
        <x:v>Heavy, Guardbreaker, WeakPoint, Attack</x:v>
      </x:c>
      <x:c r="O644" s="12" t="str">
        <x:v>Deal 3 damage. Apply Burn 2 if the target has a Settlement weak point, otherwise gain Marked 1.</x:v>
      </x:c>
      <x:c r="P644" s="12" t="str">
        <x:v>Deal 3 damage with Skullcap Hammer. Apply Burn 2 against a matching Settlement weak point; otherwise apply Marked 1. If this is your first card this turn, reduce its cost by 1, minimum 0.</x:v>
      </x:c>
      <x:c r="Q644" s="12" t="str"/>
      <x:c r="R644" s="12" t="str">
        <x:v>quirk: tempo</x:v>
      </x:c>
      <x:c r="S644" s="12" t="str">
        <x:v>5b2304926b71</x:v>
      </x:c>
      <x:c r="T644" s="12" t="n">
        <x:f>COUNTIF($S$2:$S$757,S644)</x:f>
        <x:v>1</x:v>
      </x:c>
      <x:c r="U644" s="12" t="str">
        <x:f>IF(T644=1,"OK","DUPLICATE")</x:f>
        <x:v>OK</x:v>
      </x:c>
    </x:row>
    <x:row r="645" ht="39.599998474121094" hidden="0" customHeight="1">
      <x:c r="A645" s="12" t="str">
        <x:v>Skullcap Hammer</x:v>
      </x:c>
      <x:c r="B645" s="12" t="str">
        <x:v>SKULLCAP HAMMER</x:v>
      </x:c>
      <x:c r="C645" s="12" t="str">
        <x:v>weapon</x:v>
      </x:c>
      <x:c r="D645" s="12" t="str">
        <x:v>hammer</x:v>
      </x:c>
      <x:c r="E645" s="12" t="str">
        <x:v>early</x:v>
      </x:c>
      <x:c r="F645" s="12" t="str">
        <x:v>uncommon</x:v>
      </x:c>
      <x:c r="G645" s="12" t="str">
        <x:v>Skullcap Hammer — Technique</x:v>
      </x:c>
      <x:c r="H645" s="34" t="n">
        <x:v>1</x:v>
      </x:c>
      <x:c r="I645" s="34" t="str">
        <x:v>skill</x:v>
      </x:c>
      <x:c r="J645" s="34" t="str"/>
      <x:c r="K645" s="34" t="str"/>
      <x:c r="L645" s="34" t="n">
        <x:v>2</x:v>
      </x:c>
      <x:c r="M645" s="12" t="str">
        <x:v>Opens: True</x:v>
      </x:c>
      <x:c r="N645" s="12" t="str">
        <x:v>Heavy, Guardbreaker, WeakPoint, Setup</x:v>
      </x:c>
      <x:c r="O645" s="12" t="str">
        <x:v>Crack shell or bone; apply Exposed 1 and reduce the next block gained by the quarry by 2. Also gain 2 block.</x:v>
      </x:c>
      <x:c r="P645" s="12" t="str">
        <x:v>Crack shell or bone; apply Exposed 1 and reduce the next block gained by the quarry by 2. Gain 2 block. If this is your first card this turn, reduce its cost by 1, minimum 0.</x:v>
      </x:c>
      <x:c r="Q645" s="12" t="str"/>
      <x:c r="R645" s="12" t="str">
        <x:v>quirk: tempo</x:v>
      </x:c>
      <x:c r="S645" s="12" t="str">
        <x:v>f9b74c82f979</x:v>
      </x:c>
      <x:c r="T645" s="12" t="n">
        <x:f>COUNTIF($S$2:$S$757,S645)</x:f>
        <x:v>1</x:v>
      </x:c>
      <x:c r="U645" s="12" t="str">
        <x:f>IF(T645=1,"OK","DUPLICATE")</x:f>
        <x:v>OK</x:v>
      </x:c>
    </x:row>
    <x:row r="646" ht="26.399999618530273" hidden="0" customHeight="1">
      <x:c r="A646" s="12" t="str">
        <x:v>Skullcap Hammer</x:v>
      </x:c>
      <x:c r="B646" s="12" t="str">
        <x:v>SKULLCAP HAMMER</x:v>
      </x:c>
      <x:c r="C646" s="12" t="str">
        <x:v>weapon</x:v>
      </x:c>
      <x:c r="D646" s="12" t="str">
        <x:v>hammer</x:v>
      </x:c>
      <x:c r="E646" s="12" t="str">
        <x:v>early</x:v>
      </x:c>
      <x:c r="F646" s="12" t="str">
        <x:v>uncommon</x:v>
      </x:c>
      <x:c r="G646" s="12" t="str">
        <x:v>Skullcap Hammer — Payoff</x:v>
      </x:c>
      <x:c r="H646" s="34" t="n">
        <x:v>2</x:v>
      </x:c>
      <x:c r="I646" s="34" t="str">
        <x:v>attack</x:v>
      </x:c>
      <x:c r="J646" s="34" t="n">
        <x:v>5</x:v>
      </x:c>
      <x:c r="K646" s="34" t="n">
        <x:v>5</x:v>
      </x:c>
      <x:c r="L646" s="34" t="str"/>
      <x:c r="M646" s="12" t="str">
        <x:v>Burn 1</x:v>
      </x:c>
      <x:c r="N646" s="12" t="str">
        <x:v>Heavy, Guardbreaker, WeakPoint, Payoff</x:v>
      </x:c>
      <x:c r="O646" s="12" t="str">
        <x:v>Deal 5 damage and 5 break damage. If this breaks a weak point, resolve Burn 1 and the tempo rider.</x:v>
      </x:c>
      <x:c r="P646" s="12" t="str">
        <x:v>Deal 5 damage and 5 break damage. If the weak point breaks, apply Burn 1 and resolve: If this is your first card this turn, reduce its cost by 1, minimum 0.</x:v>
      </x:c>
      <x:c r="Q646" s="12" t="str"/>
      <x:c r="R646" s="12" t="str">
        <x:v>quirk: tempo | countsAsCounter False, firstCounterFree False</x:v>
      </x:c>
      <x:c r="S646" s="12" t="str">
        <x:v>bc11a9b7e236</x:v>
      </x:c>
      <x:c r="T646" s="12" t="n">
        <x:f>COUNTIF($S$2:$S$757,S646)</x:f>
        <x:v>1</x:v>
      </x:c>
      <x:c r="U646" s="12" t="str">
        <x:f>IF(T646=1,"OK","DUPLICATE")</x:f>
        <x:v>OK</x:v>
      </x:c>
    </x:row>
    <x:row r="647" ht="39.599998474121094" hidden="0" customHeight="1">
      <x:c r="A647" s="12" t="str">
        <x:v>Sky Harpoon</x:v>
      </x:c>
      <x:c r="B647" s="12" t="str">
        <x:v>SKY HARPOON</x:v>
      </x:c>
      <x:c r="C647" s="12" t="str">
        <x:v>weapon</x:v>
      </x:c>
      <x:c r="D647" s="12" t="str">
        <x:v>spear</x:v>
      </x:c>
      <x:c r="E647" s="12" t="str">
        <x:v>mid</x:v>
      </x:c>
      <x:c r="F647" s="12" t="str">
        <x:v>uncommon</x:v>
      </x:c>
      <x:c r="G647" s="12" t="str">
        <x:v>Sky Harpoon — Opening Strike</x:v>
      </x:c>
      <x:c r="H647" s="34" t="n">
        <x:v>1</x:v>
      </x:c>
      <x:c r="I647" s="34" t="str">
        <x:v>attack</x:v>
      </x:c>
      <x:c r="J647" s="34" t="n">
        <x:v>5</x:v>
      </x:c>
      <x:c r="K647" s="34" t="n">
        <x:v>3</x:v>
      </x:c>
      <x:c r="L647" s="34" t="str"/>
      <x:c r="M647" s="12" t="str">
        <x:v>Poison 3 | Target: Sky Reef</x:v>
      </x:c>
      <x:c r="N647" s="12" t="str">
        <x:v>Reach, Defensive, WeakPoint, Attack</x:v>
      </x:c>
      <x:c r="O647" s="12" t="str">
        <x:v>Deal 5 damage. Apply Poison 3 if the target has a Sky Reef weak point, otherwise gain Marked 1.</x:v>
      </x:c>
      <x:c r="P647" s="12" t="str">
        <x:v>Deal 5 damage with Sky Harpoon. Apply Poison 3 against a matching Sky Reef weak point; otherwise apply Marked 1. If you already played an attack this turn, add +1 damage or +1 block.</x:v>
      </x:c>
      <x:c r="Q647" s="12" t="str"/>
      <x:c r="R647" s="12" t="str">
        <x:v>quirk: followUp</x:v>
      </x:c>
      <x:c r="S647" s="12" t="str">
        <x:v>fa00c541d073</x:v>
      </x:c>
      <x:c r="T647" s="12" t="n">
        <x:f>COUNTIF($S$2:$S$757,S647)</x:f>
        <x:v>1</x:v>
      </x:c>
      <x:c r="U647" s="12" t="str">
        <x:f>IF(T647=1,"OK","DUPLICATE")</x:f>
        <x:v>OK</x:v>
      </x:c>
    </x:row>
    <x:row r="648" ht="26.399999618530273" hidden="0" customHeight="1">
      <x:c r="A648" s="12" t="str">
        <x:v>Sky Harpoon</x:v>
      </x:c>
      <x:c r="B648" s="12" t="str">
        <x:v>SKY HARPOON</x:v>
      </x:c>
      <x:c r="C648" s="12" t="str">
        <x:v>weapon</x:v>
      </x:c>
      <x:c r="D648" s="12" t="str">
        <x:v>spear</x:v>
      </x:c>
      <x:c r="E648" s="12" t="str">
        <x:v>mid</x:v>
      </x:c>
      <x:c r="F648" s="12" t="str">
        <x:v>uncommon</x:v>
      </x:c>
      <x:c r="G648" s="12" t="str">
        <x:v>Sky Harpoon — Technique</x:v>
      </x:c>
      <x:c r="H648" s="34" t="n">
        <x:v>2</x:v>
      </x:c>
      <x:c r="I648" s="34" t="str">
        <x:v>skill</x:v>
      </x:c>
      <x:c r="J648" s="34" t="str"/>
      <x:c r="K648" s="34" t="str"/>
      <x:c r="L648" s="34" t="n">
        <x:v>4</x:v>
      </x:c>
      <x:c r="M648" s="12" t="str">
        <x:v>Opens: True</x:v>
      </x:c>
      <x:c r="N648" s="12" t="str">
        <x:v>Reach, Defensive, WeakPoint, Setup</x:v>
      </x:c>
      <x:c r="O648" s="12" t="str">
        <x:v>Hold at reach; apply Snared 1 and gain Guarded 1 before retaliation. Also gain 4 block.</x:v>
      </x:c>
      <x:c r="P648" s="12" t="str">
        <x:v>Hold at reach; apply Snared 1 and gain Guarded 1 before retaliation. Gain 4 block. If you already played an attack this turn, add +1 damage or +1 block.</x:v>
      </x:c>
      <x:c r="Q648" s="12" t="str"/>
      <x:c r="R648" s="12" t="str">
        <x:v>quirk: followUp</x:v>
      </x:c>
      <x:c r="S648" s="12" t="str">
        <x:v>ff12a6166c36</x:v>
      </x:c>
      <x:c r="T648" s="12" t="n">
        <x:f>COUNTIF($S$2:$S$757,S648)</x:f>
        <x:v>1</x:v>
      </x:c>
      <x:c r="U648" s="12" t="str">
        <x:f>IF(T648=1,"OK","DUPLICATE")</x:f>
        <x:v>OK</x:v>
      </x:c>
    </x:row>
    <x:row r="649" ht="26.399999618530273" hidden="0" customHeight="1">
      <x:c r="A649" s="12" t="str">
        <x:v>Sky Harpoon</x:v>
      </x:c>
      <x:c r="B649" s="12" t="str">
        <x:v>SKY HARPOON</x:v>
      </x:c>
      <x:c r="C649" s="12" t="str">
        <x:v>weapon</x:v>
      </x:c>
      <x:c r="D649" s="12" t="str">
        <x:v>spear</x:v>
      </x:c>
      <x:c r="E649" s="12" t="str">
        <x:v>mid</x:v>
      </x:c>
      <x:c r="F649" s="12" t="str">
        <x:v>uncommon</x:v>
      </x:c>
      <x:c r="G649" s="12" t="str">
        <x:v>Sky Harpoon — Payoff</x:v>
      </x:c>
      <x:c r="H649" s="34" t="n">
        <x:v>2</x:v>
      </x:c>
      <x:c r="I649" s="34" t="str">
        <x:v>attack</x:v>
      </x:c>
      <x:c r="J649" s="34" t="n">
        <x:v>7</x:v>
      </x:c>
      <x:c r="K649" s="34" t="n">
        <x:v>4</x:v>
      </x:c>
      <x:c r="L649" s="34" t="str"/>
      <x:c r="M649" s="12" t="str">
        <x:v>Poison 2</x:v>
      </x:c>
      <x:c r="N649" s="12" t="str">
        <x:v>Reach, Defensive, WeakPoint, Payoff</x:v>
      </x:c>
      <x:c r="O649" s="12" t="str">
        <x:v>Deal 7 damage and 4 break damage. If this breaks a weak point, resolve Poison 2 and the followUp rider.</x:v>
      </x:c>
      <x:c r="P649" s="12" t="str">
        <x:v>Deal 7 damage and 4 break damage. If the weak point breaks, apply Poison 2 and resolve: If you already played an attack this turn, add +1 damage or +1 block.</x:v>
      </x:c>
      <x:c r="Q649" s="12" t="str"/>
      <x:c r="R649" s="12" t="str">
        <x:v>quirk: followUp | countsAsCounter False, firstCounterFree False</x:v>
      </x:c>
      <x:c r="S649" s="12" t="str">
        <x:v>0ab2705f7ccc</x:v>
      </x:c>
      <x:c r="T649" s="12" t="n">
        <x:f>COUNTIF($S$2:$S$757,S649)</x:f>
        <x:v>1</x:v>
      </x:c>
      <x:c r="U649" s="12" t="str">
        <x:f>IF(T649=1,"OK","DUPLICATE")</x:f>
        <x:v>OK</x:v>
      </x:c>
    </x:row>
    <x:row r="650" ht="39.599998474121094" hidden="0" customHeight="1">
      <x:c r="A650" s="12" t="str">
        <x:v>Slender Ovule</x:v>
      </x:c>
      <x:c r="B650" s="12" t="str">
        <x:v>SLENDER OVULE</x:v>
      </x:c>
      <x:c r="C650" s="12" t="str">
        <x:v>tool</x:v>
      </x:c>
      <x:c r="D650" s="12" t="str">
        <x:v>tool</x:v>
      </x:c>
      <x:c r="E650" s="12" t="str">
        <x:v>mid</x:v>
      </x:c>
      <x:c r="F650" s="12" t="str">
        <x:v>uncommon</x:v>
      </x:c>
      <x:c r="G650" s="12" t="str">
        <x:v>Slender Ovule — Use</x:v>
      </x:c>
      <x:c r="H650" s="34" t="n">
        <x:v>1</x:v>
      </x:c>
      <x:c r="I650" s="34" t="str">
        <x:v>skill</x:v>
      </x:c>
      <x:c r="J650" s="34" t="str"/>
      <x:c r="K650" s="34" t="str"/>
      <x:c r="L650" s="34" t="str"/>
      <x:c r="M650" s="12" t="str">
        <x:v>Snared 1</x:v>
      </x:c>
      <x:c r="N650" s="12" t="str">
        <x:v>Tool, Harvest, Retreat</x:v>
      </x:c>
      <x:c r="O650" s="12" t="str">
        <x:v>Gain +2 to the next harvest, retreat, or weak-point test. If it fails, apply Snared 1 to the quarry or clear it from a survivor.</x:v>
      </x:c>
      <x:c r="P650" s="12" t="str">
        <x:v>Gain +2 to the next harvest, retreat, or weak-point test linked to Light Forging. On failure, either apply Snared 1 to the quarry or clear that status from a survivor. After use, Exhaust this equipment until the next monster turn.</x:v>
      </x:c>
      <x:c r="Q650" s="12" t="str"/>
      <x:c r="R650" s="12" t="str">
        <x:v>quirk: exhaust</x:v>
      </x:c>
      <x:c r="S650" s="12" t="str">
        <x:v>1fcfcb5a1f27</x:v>
      </x:c>
      <x:c r="T650" s="12" t="n">
        <x:f>COUNTIF($S$2:$S$757,S650)</x:f>
        <x:v>1</x:v>
      </x:c>
      <x:c r="U650" s="12" t="str">
        <x:f>IF(T650=1,"OK","DUPLICATE")</x:f>
        <x:v>OK</x:v>
      </x:c>
    </x:row>
    <x:row r="651" ht="39.599998474121094" hidden="0" customHeight="1">
      <x:c r="A651" s="12" t="str">
        <x:v>Slender Ovule</x:v>
      </x:c>
      <x:c r="B651" s="12" t="str">
        <x:v>SLENDER OVULE</x:v>
      </x:c>
      <x:c r="C651" s="12" t="str">
        <x:v>tool</x:v>
      </x:c>
      <x:c r="D651" s="12" t="str">
        <x:v>tool</x:v>
      </x:c>
      <x:c r="E651" s="12" t="str">
        <x:v>mid</x:v>
      </x:c>
      <x:c r="F651" s="12" t="str">
        <x:v>uncommon</x:v>
      </x:c>
      <x:c r="G651" s="12" t="str">
        <x:v>Slender Ovule — Contingency</x:v>
      </x:c>
      <x:c r="H651" s="34" t="n">
        <x:v>1</x:v>
      </x:c>
      <x:c r="I651" s="34" t="str">
        <x:v>reaction</x:v>
      </x:c>
      <x:c r="J651" s="34" t="str"/>
      <x:c r="K651" s="34" t="str"/>
      <x:c r="L651" s="34" t="str"/>
      <x:c r="M651" s="12" t="str"/>
      <x:c r="N651" s="12" t="str">
        <x:v>Tool, Harvest, Retreat</x:v>
      </x:c>
      <x:c r="O651" s="12" t="str">
        <x:v>When a hunt or monster consequence is previewed, reduce it by 2; on retreat, preserve 1 gathered resource.</x:v>
      </x:c>
      <x:c r="P651" s="12" t="str">
        <x:v>When a hunt event, retreat roll, or monster consequence is previewed, reduce the penalty by 2. If retreating, preserve 1 gathered resource. After use, Exhaust this equipment until the next monster turn.</x:v>
      </x:c>
      <x:c r="Q651" s="12" t="str"/>
      <x:c r="R651" s="12" t="str">
        <x:v>quirk: exhaust</x:v>
      </x:c>
      <x:c r="S651" s="12" t="str">
        <x:v>ed768e9db596</x:v>
      </x:c>
      <x:c r="T651" s="12" t="n">
        <x:f>COUNTIF($S$2:$S$757,S651)</x:f>
        <x:v>1</x:v>
      </x:c>
      <x:c r="U651" s="12" t="str">
        <x:f>IF(T651=1,"OK","DUPLICATE")</x:f>
        <x:v>OK</x:v>
      </x:c>
    </x:row>
    <x:row r="652" ht="39.599998474121094" hidden="0" customHeight="1">
      <x:c r="A652" s="12" t="str">
        <x:v>Sonic Tomahawk</x:v>
      </x:c>
      <x:c r="B652" s="12" t="str">
        <x:v>SONIC TOMAHAWK</x:v>
      </x:c>
      <x:c r="C652" s="12" t="str">
        <x:v>weapon</x:v>
      </x:c>
      <x:c r="D652" s="12" t="str">
        <x:v>bow</x:v>
      </x:c>
      <x:c r="E652" s="12" t="str">
        <x:v>early</x:v>
      </x:c>
      <x:c r="F652" s="12" t="str">
        <x:v>common</x:v>
      </x:c>
      <x:c r="G652" s="12" t="str">
        <x:v>Sonic Tomahawk — Opening Strike</x:v>
      </x:c>
      <x:c r="H652" s="34" t="n">
        <x:v>1</x:v>
      </x:c>
      <x:c r="I652" s="34" t="str">
        <x:v>attack</x:v>
      </x:c>
      <x:c r="J652" s="34" t="n">
        <x:v>3</x:v>
      </x:c>
      <x:c r="K652" s="34" t="n">
        <x:v>2</x:v>
      </x:c>
      <x:c r="L652" s="34" t="str"/>
      <x:c r="M652" s="12" t="str">
        <x:v>Doom 2 | Target: Phoenix</x:v>
      </x:c>
      <x:c r="N652" s="12" t="str">
        <x:v>Ranged, Marking, Precise, Attack</x:v>
      </x:c>
      <x:c r="O652" s="12" t="str">
        <x:v>Deal 3 damage. Apply Doom 2 if the target has a Phoenix weak point, otherwise gain Marked 1.</x:v>
      </x:c>
      <x:c r="P652" s="12" t="str">
        <x:v>Deal 3 damage with Sonic Tomahawk. Apply Doom 2 against a matching Phoenix weak point; otherwise apply Marked 1. If the quarry is Marked, draw 1 then discard 1.</x:v>
      </x:c>
      <x:c r="Q652" s="12" t="str"/>
      <x:c r="R652" s="12" t="str">
        <x:v>quirk: marked</x:v>
      </x:c>
      <x:c r="S652" s="12" t="str">
        <x:v>5cfdfae43251</x:v>
      </x:c>
      <x:c r="T652" s="12" t="n">
        <x:f>COUNTIF($S$2:$S$757,S652)</x:f>
        <x:v>1</x:v>
      </x:c>
      <x:c r="U652" s="12" t="str">
        <x:f>IF(T652=1,"OK","DUPLICATE")</x:f>
        <x:v>OK</x:v>
      </x:c>
    </x:row>
    <x:row r="653" ht="26.399999618530273" hidden="0" customHeight="1">
      <x:c r="A653" s="12" t="str">
        <x:v>Sonic Tomahawk</x:v>
      </x:c>
      <x:c r="B653" s="12" t="str">
        <x:v>SONIC TOMAHAWK</x:v>
      </x:c>
      <x:c r="C653" s="12" t="str">
        <x:v>weapon</x:v>
      </x:c>
      <x:c r="D653" s="12" t="str">
        <x:v>bow</x:v>
      </x:c>
      <x:c r="E653" s="12" t="str">
        <x:v>early</x:v>
      </x:c>
      <x:c r="F653" s="12" t="str">
        <x:v>common</x:v>
      </x:c>
      <x:c r="G653" s="12" t="str">
        <x:v>Sonic Tomahawk — Technique</x:v>
      </x:c>
      <x:c r="H653" s="34" t="n">
        <x:v>2</x:v>
      </x:c>
      <x:c r="I653" s="34" t="str">
        <x:v>skill</x:v>
      </x:c>
      <x:c r="J653" s="34" t="str"/>
      <x:c r="K653" s="34" t="str"/>
      <x:c r="L653" s="34" t="n">
        <x:v>2</x:v>
      </x:c>
      <x:c r="M653" s="12" t="str">
        <x:v>Opens: True</x:v>
      </x:c>
      <x:c r="N653" s="12" t="str">
        <x:v>Ranged, Marking, Precise, Setup</x:v>
      </x:c>
      <x:c r="O653" s="12" t="str">
        <x:v>Mark a wing, eye or distant weak point; ranged attacks ignore Guarded 1. Also gain 2 block.</x:v>
      </x:c>
      <x:c r="P653" s="12" t="str">
        <x:v>Mark a wing, eye or distant weak point; ranged attacks ignore Guarded 1. Gain 2 block. If the quarry is Marked, draw 1 then discard 1.</x:v>
      </x:c>
      <x:c r="Q653" s="12" t="str"/>
      <x:c r="R653" s="12" t="str">
        <x:v>quirk: marked</x:v>
      </x:c>
      <x:c r="S653" s="12" t="str">
        <x:v>75a750a45a45</x:v>
      </x:c>
      <x:c r="T653" s="12" t="n">
        <x:f>COUNTIF($S$2:$S$757,S653)</x:f>
        <x:v>1</x:v>
      </x:c>
      <x:c r="U653" s="12" t="str">
        <x:f>IF(T653=1,"OK","DUPLICATE")</x:f>
        <x:v>OK</x:v>
      </x:c>
    </x:row>
    <x:row r="654" ht="26.399999618530273" hidden="0" customHeight="1">
      <x:c r="A654" s="12" t="str">
        <x:v>Sonic Tomahawk</x:v>
      </x:c>
      <x:c r="B654" s="12" t="str">
        <x:v>SONIC TOMAHAWK</x:v>
      </x:c>
      <x:c r="C654" s="12" t="str">
        <x:v>weapon</x:v>
      </x:c>
      <x:c r="D654" s="12" t="str">
        <x:v>bow</x:v>
      </x:c>
      <x:c r="E654" s="12" t="str">
        <x:v>early</x:v>
      </x:c>
      <x:c r="F654" s="12" t="str">
        <x:v>common</x:v>
      </x:c>
      <x:c r="G654" s="12" t="str">
        <x:v>Sonic Tomahawk — Payoff</x:v>
      </x:c>
      <x:c r="H654" s="34" t="n">
        <x:v>2</x:v>
      </x:c>
      <x:c r="I654" s="34" t="str">
        <x:v>attack</x:v>
      </x:c>
      <x:c r="J654" s="34" t="n">
        <x:v>7</x:v>
      </x:c>
      <x:c r="K654" s="34" t="n">
        <x:v>3</x:v>
      </x:c>
      <x:c r="L654" s="34" t="str"/>
      <x:c r="M654" s="12" t="str">
        <x:v>Doom 1</x:v>
      </x:c>
      <x:c r="N654" s="12" t="str">
        <x:v>Ranged, Marking, Precise, Payoff, WeakPoint</x:v>
      </x:c>
      <x:c r="O654" s="12" t="str">
        <x:v>Deal 7 damage and 3 break damage. If this breaks a weak point, resolve Doom 1 and the marked rider.</x:v>
      </x:c>
      <x:c r="P654" s="12" t="str">
        <x:v>Deal 7 damage and 3 break damage. If the weak point breaks, apply Doom 1 and resolve: If the quarry is Marked, draw 1 then discard 1.</x:v>
      </x:c>
      <x:c r="Q654" s="12" t="str"/>
      <x:c r="R654" s="12" t="str">
        <x:v>quirk: marked | countsAsCounter False, firstCounterFree False</x:v>
      </x:c>
      <x:c r="S654" s="12" t="str">
        <x:v>862e033f9593</x:v>
      </x:c>
      <x:c r="T654" s="12" t="n">
        <x:f>COUNTIF($S$2:$S$757,S654)</x:f>
        <x:v>1</x:v>
      </x:c>
      <x:c r="U654" s="12" t="str">
        <x:f>IF(T654=1,"OK","DUPLICATE")</x:f>
        <x:v>OK</x:v>
      </x:c>
    </x:row>
    <x:row r="655" ht="39.599998474121094" hidden="0" customHeight="1">
      <x:c r="A655" s="12" t="str">
        <x:v>Soothing Whip</x:v>
      </x:c>
      <x:c r="B655" s="12" t="str">
        <x:v>SOOTHING WHIP</x:v>
      </x:c>
      <x:c r="C655" s="12" t="str">
        <x:v>weapon</x:v>
      </x:c>
      <x:c r="D655" s="12" t="str">
        <x:v>whip</x:v>
      </x:c>
      <x:c r="E655" s="12" t="str">
        <x:v>mid</x:v>
      </x:c>
      <x:c r="F655" s="12" t="str">
        <x:v>uncommon</x:v>
      </x:c>
      <x:c r="G655" s="12" t="str">
        <x:v>Soothing Whip — Opening Strike</x:v>
      </x:c>
      <x:c r="H655" s="34" t="n">
        <x:v>1</x:v>
      </x:c>
      <x:c r="I655" s="34" t="str">
        <x:v>attack</x:v>
      </x:c>
      <x:c r="J655" s="34" t="n">
        <x:v>3</x:v>
      </x:c>
      <x:c r="K655" s="34" t="n">
        <x:v>3</x:v>
      </x:c>
      <x:c r="L655" s="34" t="str"/>
      <x:c r="M655" s="12" t="str">
        <x:v>Blind 3 | Target: Spurkulese</x:v>
      </x:c>
      <x:c r="N655" s="12" t="str">
        <x:v>Reach, Marking, WeakPoint, Attack</x:v>
      </x:c>
      <x:c r="O655" s="12" t="str">
        <x:v>Deal 3 damage. Apply Blind 3 if the target has a Spurkulese weak point, otherwise gain Marked 1.</x:v>
      </x:c>
      <x:c r="P655" s="12" t="str">
        <x:v>Deal 3 damage with Soothing Whip. Apply Blind 3 against a matching Spurkulese weak point; otherwise apply Marked 1. If you have Guarded, convert 1 Guarded into +2 damage.</x:v>
      </x:c>
      <x:c r="Q655" s="12" t="str"/>
      <x:c r="R655" s="12" t="str">
        <x:v>quirk: guarded</x:v>
      </x:c>
      <x:c r="S655" s="12" t="str">
        <x:v>5a98969e30e9</x:v>
      </x:c>
      <x:c r="T655" s="12" t="n">
        <x:f>COUNTIF($S$2:$S$757,S655)</x:f>
        <x:v>1</x:v>
      </x:c>
      <x:c r="U655" s="12" t="str">
        <x:f>IF(T655=1,"OK","DUPLICATE")</x:f>
        <x:v>OK</x:v>
      </x:c>
    </x:row>
    <x:row r="656" ht="26.399999618530273" hidden="0" customHeight="1">
      <x:c r="A656" s="12" t="str">
        <x:v>Soothing Whip</x:v>
      </x:c>
      <x:c r="B656" s="12" t="str">
        <x:v>SOOTHING WHIP</x:v>
      </x:c>
      <x:c r="C656" s="12" t="str">
        <x:v>weapon</x:v>
      </x:c>
      <x:c r="D656" s="12" t="str">
        <x:v>whip</x:v>
      </x:c>
      <x:c r="E656" s="12" t="str">
        <x:v>mid</x:v>
      </x:c>
      <x:c r="F656" s="12" t="str">
        <x:v>uncommon</x:v>
      </x:c>
      <x:c r="G656" s="12" t="str">
        <x:v>Soothing Whip — Technique</x:v>
      </x:c>
      <x:c r="H656" s="34" t="n">
        <x:v>1</x:v>
      </x:c>
      <x:c r="I656" s="34" t="str">
        <x:v>skill</x:v>
      </x:c>
      <x:c r="J656" s="34" t="str"/>
      <x:c r="K656" s="34" t="str"/>
      <x:c r="L656" s="34" t="n">
        <x:v>4</x:v>
      </x:c>
      <x:c r="M656" s="12" t="str">
        <x:v>Opens: True</x:v>
      </x:c>
      <x:c r="N656" s="12" t="str">
        <x:v>Reach, Marking, WeakPoint, Setup</x:v>
      </x:c>
      <x:c r="O656" s="12" t="str">
        <x:v>Hook a limb; apply Snared 2, then Open a limb weak point if present. Also gain 4 block.</x:v>
      </x:c>
      <x:c r="P656" s="12" t="str">
        <x:v>Hook a limb; apply Snared 2, then Open a limb weak point if present. Gain 4 block. If you have Guarded, convert 1 Guarded into +2 damage.</x:v>
      </x:c>
      <x:c r="Q656" s="12" t="str"/>
      <x:c r="R656" s="12" t="str">
        <x:v>quirk: guarded</x:v>
      </x:c>
      <x:c r="S656" s="12" t="str">
        <x:v>a2579767ebb3</x:v>
      </x:c>
      <x:c r="T656" s="12" t="n">
        <x:f>COUNTIF($S$2:$S$757,S656)</x:f>
        <x:v>1</x:v>
      </x:c>
      <x:c r="U656" s="12" t="str">
        <x:f>IF(T656=1,"OK","DUPLICATE")</x:f>
        <x:v>OK</x:v>
      </x:c>
    </x:row>
    <x:row r="657" ht="26.399999618530273" hidden="0" customHeight="1">
      <x:c r="A657" s="12" t="str">
        <x:v>Soothing Whip</x:v>
      </x:c>
      <x:c r="B657" s="12" t="str">
        <x:v>SOOTHING WHIP</x:v>
      </x:c>
      <x:c r="C657" s="12" t="str">
        <x:v>weapon</x:v>
      </x:c>
      <x:c r="D657" s="12" t="str">
        <x:v>whip</x:v>
      </x:c>
      <x:c r="E657" s="12" t="str">
        <x:v>mid</x:v>
      </x:c>
      <x:c r="F657" s="12" t="str">
        <x:v>uncommon</x:v>
      </x:c>
      <x:c r="G657" s="12" t="str">
        <x:v>Soothing Whip — Payoff</x:v>
      </x:c>
      <x:c r="H657" s="34" t="n">
        <x:v>2</x:v>
      </x:c>
      <x:c r="I657" s="34" t="str">
        <x:v>attack</x:v>
      </x:c>
      <x:c r="J657" s="34" t="n">
        <x:v>5</x:v>
      </x:c>
      <x:c r="K657" s="34" t="n">
        <x:v>4</x:v>
      </x:c>
      <x:c r="L657" s="34" t="str"/>
      <x:c r="M657" s="12" t="str">
        <x:v>Blind 2</x:v>
      </x:c>
      <x:c r="N657" s="12" t="str">
        <x:v>Reach, Marking, WeakPoint, Payoff</x:v>
      </x:c>
      <x:c r="O657" s="12" t="str">
        <x:v>Deal 5 damage and 4 break damage. If this breaks a weak point, resolve Blind 2 and the guarded rider.</x:v>
      </x:c>
      <x:c r="P657" s="12" t="str">
        <x:v>Deal 5 damage and 4 break damage. If the weak point breaks, apply Blind 2 and resolve: If you have Guarded, convert 1 Guarded into +2 damage.</x:v>
      </x:c>
      <x:c r="Q657" s="12" t="str"/>
      <x:c r="R657" s="12" t="str">
        <x:v>quirk: guarded | countsAsCounter False, firstCounterFree False</x:v>
      </x:c>
      <x:c r="S657" s="12" t="str">
        <x:v>5fe1cc49d810</x:v>
      </x:c>
      <x:c r="T657" s="12" t="n">
        <x:f>COUNTIF($S$2:$S$757,S657)</x:f>
        <x:v>1</x:v>
      </x:c>
      <x:c r="U657" s="12" t="str">
        <x:f>IF(T657=1,"OK","DUPLICATE")</x:f>
        <x:v>OK</x:v>
      </x:c>
    </x:row>
    <x:row r="658" ht="39.599998474121094" hidden="0" customHeight="1">
      <x:c r="A658" s="12" t="str">
        <x:v>Spear of Fear</x:v>
      </x:c>
      <x:c r="B658" s="12" t="str">
        <x:v>SPEAR OF FEAR</x:v>
      </x:c>
      <x:c r="C658" s="12" t="str">
        <x:v>weapon</x:v>
      </x:c>
      <x:c r="D658" s="12" t="str">
        <x:v>spear</x:v>
      </x:c>
      <x:c r="E658" s="12" t="str">
        <x:v>early</x:v>
      </x:c>
      <x:c r="F658" s="12" t="str">
        <x:v>uncommon</x:v>
      </x:c>
      <x:c r="G658" s="12" t="str">
        <x:v>Spear of Fear — Opening Strike</x:v>
      </x:c>
      <x:c r="H658" s="34" t="n">
        <x:v>1</x:v>
      </x:c>
      <x:c r="I658" s="34" t="str">
        <x:v>attack</x:v>
      </x:c>
      <x:c r="J658" s="34" t="n">
        <x:v>4</x:v>
      </x:c>
      <x:c r="K658" s="34" t="n">
        <x:v>1</x:v>
      </x:c>
      <x:c r="L658" s="34" t="str"/>
      <x:c r="M658" s="12" t="str">
        <x:v>Bleed 1 | Target: White Lion</x:v>
      </x:c>
      <x:c r="N658" s="12" t="str">
        <x:v>Reach, Defensive, WeakPoint, Attack</x:v>
      </x:c>
      <x:c r="O658" s="12" t="str">
        <x:v>Deal 4 damage. Apply Bleed 1 if the target has a White Lion weak point, otherwise gain Marked 1.</x:v>
      </x:c>
      <x:c r="P658" s="12" t="str">
        <x:v>Deal 4 damage with Spear of Fear. Apply Bleed 1 against a matching White Lion weak point; otherwise apply Marked 1. If you have any wound, add +1 damage but gain Panic 1.</x:v>
      </x:c>
      <x:c r="Q658" s="12" t="str"/>
      <x:c r="R658" s="12" t="str">
        <x:v>quirk: wounded</x:v>
      </x:c>
      <x:c r="S658" s="12" t="str">
        <x:v>87ac3ec25968</x:v>
      </x:c>
      <x:c r="T658" s="12" t="n">
        <x:f>COUNTIF($S$2:$S$757,S658)</x:f>
        <x:v>1</x:v>
      </x:c>
      <x:c r="U658" s="12" t="str">
        <x:f>IF(T658=1,"OK","DUPLICATE")</x:f>
        <x:v>OK</x:v>
      </x:c>
    </x:row>
    <x:row r="659" ht="26.399999618530273" hidden="0" customHeight="1">
      <x:c r="A659" s="12" t="str">
        <x:v>Spear of Fear</x:v>
      </x:c>
      <x:c r="B659" s="12" t="str">
        <x:v>SPEAR OF FEAR</x:v>
      </x:c>
      <x:c r="C659" s="12" t="str">
        <x:v>weapon</x:v>
      </x:c>
      <x:c r="D659" s="12" t="str">
        <x:v>spear</x:v>
      </x:c>
      <x:c r="E659" s="12" t="str">
        <x:v>early</x:v>
      </x:c>
      <x:c r="F659" s="12" t="str">
        <x:v>uncommon</x:v>
      </x:c>
      <x:c r="G659" s="12" t="str">
        <x:v>Spear of Fear — Technique</x:v>
      </x:c>
      <x:c r="H659" s="34" t="n">
        <x:v>2</x:v>
      </x:c>
      <x:c r="I659" s="34" t="str">
        <x:v>skill</x:v>
      </x:c>
      <x:c r="J659" s="34" t="str"/>
      <x:c r="K659" s="34" t="str"/>
      <x:c r="L659" s="34" t="n">
        <x:v>1</x:v>
      </x:c>
      <x:c r="M659" s="12" t="str">
        <x:v>Opens: True</x:v>
      </x:c>
      <x:c r="N659" s="12" t="str">
        <x:v>Reach, Defensive, WeakPoint, Setup</x:v>
      </x:c>
      <x:c r="O659" s="12" t="str">
        <x:v>Hold at reach; apply Snared 1 and gain Guarded 1 before retaliation. Also gain 1 block.</x:v>
      </x:c>
      <x:c r="P659" s="12" t="str">
        <x:v>Hold at reach; apply Snared 1 and gain Guarded 1 before retaliation. Gain 1 block. If you have any wound, add +1 damage but gain Panic 1.</x:v>
      </x:c>
      <x:c r="Q659" s="12" t="str"/>
      <x:c r="R659" s="12" t="str">
        <x:v>quirk: wounded</x:v>
      </x:c>
      <x:c r="S659" s="12" t="str">
        <x:v>a698030a6958</x:v>
      </x:c>
      <x:c r="T659" s="12" t="n">
        <x:f>COUNTIF($S$2:$S$757,S659)</x:f>
        <x:v>1</x:v>
      </x:c>
      <x:c r="U659" s="12" t="str">
        <x:f>IF(T659=1,"OK","DUPLICATE")</x:f>
        <x:v>OK</x:v>
      </x:c>
    </x:row>
    <x:row r="660" ht="26.399999618530273" hidden="0" customHeight="1">
      <x:c r="A660" s="12" t="str">
        <x:v>Spear of Fear</x:v>
      </x:c>
      <x:c r="B660" s="12" t="str">
        <x:v>SPEAR OF FEAR</x:v>
      </x:c>
      <x:c r="C660" s="12" t="str">
        <x:v>weapon</x:v>
      </x:c>
      <x:c r="D660" s="12" t="str">
        <x:v>spear</x:v>
      </x:c>
      <x:c r="E660" s="12" t="str">
        <x:v>early</x:v>
      </x:c>
      <x:c r="F660" s="12" t="str">
        <x:v>uncommon</x:v>
      </x:c>
      <x:c r="G660" s="12" t="str">
        <x:v>Spear of Fear — Payoff</x:v>
      </x:c>
      <x:c r="H660" s="34" t="n">
        <x:v>2</x:v>
      </x:c>
      <x:c r="I660" s="34" t="str">
        <x:v>attack</x:v>
      </x:c>
      <x:c r="J660" s="34" t="n">
        <x:v>6</x:v>
      </x:c>
      <x:c r="K660" s="34" t="n">
        <x:v>2</x:v>
      </x:c>
      <x:c r="L660" s="34" t="str"/>
      <x:c r="M660" s="12" t="str">
        <x:v>Bleed 1</x:v>
      </x:c>
      <x:c r="N660" s="12" t="str">
        <x:v>Reach, Defensive, WeakPoint, Payoff</x:v>
      </x:c>
      <x:c r="O660" s="12" t="str">
        <x:v>Deal 6 damage and 2 break damage. If this breaks a weak point, resolve Bleed 1 and the wounded rider.</x:v>
      </x:c>
      <x:c r="P660" s="12" t="str">
        <x:v>Deal 6 damage and 2 break damage. If the weak point breaks, apply Bleed 1 and resolve: If you have any wound, add +1 damage but gain Panic 1.</x:v>
      </x:c>
      <x:c r="Q660" s="12" t="str"/>
      <x:c r="R660" s="12" t="str">
        <x:v>quirk: wounded | countsAsCounter False, firstCounterFree False</x:v>
      </x:c>
      <x:c r="S660" s="12" t="str">
        <x:v>d7fbbdfd4692</x:v>
      </x:c>
      <x:c r="T660" s="12" t="n">
        <x:f>COUNTIF($S$2:$S$757,S660)</x:f>
        <x:v>1</x:v>
      </x:c>
      <x:c r="U660" s="12" t="str">
        <x:f>IF(T660=1,"OK","DUPLICATE")</x:f>
        <x:v>OK</x:v>
      </x:c>
    </x:row>
    <x:row r="661" ht="39.599998474121094" hidden="0" customHeight="1">
      <x:c r="A661" s="12" t="str">
        <x:v>Spectral Hunter Cloak</x:v>
      </x:c>
      <x:c r="B661" s="12" t="str">
        <x:v>SPECTRAL LION CLOAK</x:v>
      </x:c>
      <x:c r="C661" s="12" t="str">
        <x:v>body</x:v>
      </x:c>
      <x:c r="D661" s="12" t="str">
        <x:v>armor</x:v>
      </x:c>
      <x:c r="E661" s="12" t="str">
        <x:v>early</x:v>
      </x:c>
      <x:c r="F661" s="12" t="str">
        <x:v>uncommon</x:v>
      </x:c>
      <x:c r="G661" s="12" t="str">
        <x:v>Spectral Hunter Cloak — Brace</x:v>
      </x:c>
      <x:c r="H661" s="34" t="n">
        <x:v>1</x:v>
      </x:c>
      <x:c r="I661" s="34" t="str">
        <x:v>skill</x:v>
      </x:c>
      <x:c r="J661" s="34" t="str"/>
      <x:c r="K661" s="34" t="str"/>
      <x:c r="L661" s="34" t="n">
        <x:v>4</x:v>
      </x:c>
      <x:c r="M661" s="12" t="str"/>
      <x:c r="N661" s="12" t="str">
        <x:v>Defensive, Party, WoundCare</x:v>
      </x:c>
      <x:c r="O661" s="12" t="str">
        <x:v>Gain 4 block and Guarded 2. If hit before your next turn, reduce Bleed or Panic by 1.</x:v>
      </x:c>
      <x:c r="P661" s="12" t="str">
        <x:v>Gain 4 block and Guarded 2. If the next monster hit lands before your next turn, reduce Bleed or Panic by 1 after damage. If used on a hunt node, also mark one gathered resource as confirmed.</x:v>
      </x:c>
      <x:c r="Q661" s="12" t="str"/>
      <x:c r="R661" s="12" t="str">
        <x:v>quirk: retreat</x:v>
      </x:c>
      <x:c r="S661" s="12" t="str">
        <x:v>391c122c5c24</x:v>
      </x:c>
      <x:c r="T661" s="12" t="n">
        <x:f>COUNTIF($S$2:$S$757,S661)</x:f>
        <x:v>1</x:v>
      </x:c>
      <x:c r="U661" s="12" t="str">
        <x:f>IF(T661=1,"OK","DUPLICATE")</x:f>
        <x:v>OK</x:v>
      </x:c>
    </x:row>
    <x:row r="662" ht="39.599998474121094" hidden="0" customHeight="1">
      <x:c r="A662" s="12" t="str">
        <x:v>Spectral Hunter Cloak</x:v>
      </x:c>
      <x:c r="B662" s="12" t="str">
        <x:v>SPECTRAL LION CLOAK</x:v>
      </x:c>
      <x:c r="C662" s="12" t="str">
        <x:v>body</x:v>
      </x:c>
      <x:c r="D662" s="12" t="str">
        <x:v>armor</x:v>
      </x:c>
      <x:c r="E662" s="12" t="str">
        <x:v>early</x:v>
      </x:c>
      <x:c r="F662" s="12" t="str">
        <x:v>uncommon</x:v>
      </x:c>
      <x:c r="G662" s="12" t="str">
        <x:v>Spectral Hunter Cloak — Fitted Plate</x:v>
      </x:c>
      <x:c r="H662" s="34" t="n">
        <x:v>1</x:v>
      </x:c>
      <x:c r="I662" s="34" t="str">
        <x:v>reaction</x:v>
      </x:c>
      <x:c r="J662" s="34" t="str"/>
      <x:c r="K662" s="34" t="str"/>
      <x:c r="L662" s="34" t="n">
        <x:v>6</x:v>
      </x:c>
      <x:c r="M662" s="12" t="str"/>
      <x:c r="N662" s="12" t="str">
        <x:v>Defensive, Party, WoundCare, Reaction</x:v>
      </x:c>
      <x:c r="O662" s="12" t="str">
        <x:v>After damage is previewed, prevent 6 damage. Then give the next ally Guarded 1.</x:v>
      </x:c>
      <x:c r="P662" s="12" t="str">
        <x:v>After incoming damage is previewed, prevent 6 damage with the body slot. Then the next ally gains Guarded 1. If used on a hunt node, also mark one gathered resource as confirmed.</x:v>
      </x:c>
      <x:c r="Q662" s="12" t="str"/>
      <x:c r="R662" s="12" t="str">
        <x:v>quirk: retreat</x:v>
      </x:c>
      <x:c r="S662" s="12" t="str">
        <x:v>b758c1827b55</x:v>
      </x:c>
      <x:c r="T662" s="12" t="n">
        <x:f>COUNTIF($S$2:$S$757,S662)</x:f>
        <x:v>1</x:v>
      </x:c>
      <x:c r="U662" s="12" t="str">
        <x:f>IF(T662=1,"OK","DUPLICATE")</x:f>
        <x:v>OK</x:v>
      </x:c>
    </x:row>
    <x:row r="663" ht="39.599998474121094" hidden="0" customHeight="1">
      <x:c r="A663" s="12" t="str">
        <x:v>Speed Powder</x:v>
      </x:c>
      <x:c r="B663" s="12" t="str">
        <x:v>SPEED POWDER</x:v>
      </x:c>
      <x:c r="C663" s="12" t="str">
        <x:v>tool</x:v>
      </x:c>
      <x:c r="D663" s="12" t="str">
        <x:v>tool</x:v>
      </x:c>
      <x:c r="E663" s="12" t="str">
        <x:v>mid</x:v>
      </x:c>
      <x:c r="F663" s="12" t="str">
        <x:v>uncommon</x:v>
      </x:c>
      <x:c r="G663" s="12" t="str">
        <x:v>Speed Powder — Use</x:v>
      </x:c>
      <x:c r="H663" s="34" t="n">
        <x:v>1</x:v>
      </x:c>
      <x:c r="I663" s="34" t="str">
        <x:v>skill</x:v>
      </x:c>
      <x:c r="J663" s="34" t="str"/>
      <x:c r="K663" s="34" t="str"/>
      <x:c r="L663" s="34" t="str"/>
      <x:c r="M663" s="12" t="str">
        <x:v>Snared 3</x:v>
      </x:c>
      <x:c r="N663" s="12" t="str">
        <x:v>Tool, Harvest, Retreat</x:v>
      </x:c>
      <x:c r="O663" s="12" t="str">
        <x:v>Gain +4 to the next harvest, retreat, or weak-point test. If it fails, apply Snared 3 to the quarry or clear it from a survivor.</x:v>
      </x:c>
      <x:c r="P663" s="12" t="str">
        <x:v>Gain +4 to the next harvest, retreat, or weak-point test linked to Barber Surgeon. On failure, either apply Snared 3 to the quarry or clear that status from a survivor. If you deal no HP damage, gain +2 break damage.</x:v>
      </x:c>
      <x:c r="Q663" s="12" t="str"/>
      <x:c r="R663" s="12" t="str">
        <x:v>quirk: careful</x:v>
      </x:c>
      <x:c r="S663" s="12" t="str">
        <x:v>8154bd54969d</x:v>
      </x:c>
      <x:c r="T663" s="12" t="n">
        <x:f>COUNTIF($S$2:$S$757,S663)</x:f>
        <x:v>1</x:v>
      </x:c>
      <x:c r="U663" s="12" t="str">
        <x:f>IF(T663=1,"OK","DUPLICATE")</x:f>
        <x:v>OK</x:v>
      </x:c>
    </x:row>
    <x:row r="664" ht="39.599998474121094" hidden="0" customHeight="1">
      <x:c r="A664" s="12" t="str">
        <x:v>Speed Powder</x:v>
      </x:c>
      <x:c r="B664" s="12" t="str">
        <x:v>SPEED POWDER</x:v>
      </x:c>
      <x:c r="C664" s="12" t="str">
        <x:v>tool</x:v>
      </x:c>
      <x:c r="D664" s="12" t="str">
        <x:v>tool</x:v>
      </x:c>
      <x:c r="E664" s="12" t="str">
        <x:v>mid</x:v>
      </x:c>
      <x:c r="F664" s="12" t="str">
        <x:v>uncommon</x:v>
      </x:c>
      <x:c r="G664" s="12" t="str">
        <x:v>Speed Powder — Contingency</x:v>
      </x:c>
      <x:c r="H664" s="34" t="n">
        <x:v>1</x:v>
      </x:c>
      <x:c r="I664" s="34" t="str">
        <x:v>reaction</x:v>
      </x:c>
      <x:c r="J664" s="34" t="str"/>
      <x:c r="K664" s="34" t="str"/>
      <x:c r="L664" s="34" t="str"/>
      <x:c r="M664" s="12" t="str"/>
      <x:c r="N664" s="12" t="str">
        <x:v>Tool, Harvest, Retreat</x:v>
      </x:c>
      <x:c r="O664" s="12" t="str">
        <x:v>When a hunt or monster consequence is previewed, reduce it by 4; on retreat, preserve 2 gathered resource.</x:v>
      </x:c>
      <x:c r="P664" s="12" t="str">
        <x:v>When a hunt event, retreat roll, or monster consequence is previewed, reduce the penalty by 4. If retreating, preserve 2 gathered resource. If you deal no HP damage, gain +2 break damage.</x:v>
      </x:c>
      <x:c r="Q664" s="12" t="str"/>
      <x:c r="R664" s="12" t="str">
        <x:v>quirk: careful</x:v>
      </x:c>
      <x:c r="S664" s="12" t="str">
        <x:v>e7bf407662f3</x:v>
      </x:c>
      <x:c r="T664" s="12" t="n">
        <x:f>COUNTIF($S$2:$S$757,S664)</x:f>
        <x:v>1</x:v>
      </x:c>
      <x:c r="U664" s="12" t="str">
        <x:f>IF(T664=1,"OK","DUPLICATE")</x:f>
        <x:v>OK</x:v>
      </x:c>
    </x:row>
    <x:row r="665" ht="39.599998474121094" hidden="0" customHeight="1">
      <x:c r="A665" s="12" t="str">
        <x:v>Spider Visage</x:v>
      </x:c>
      <x:c r="B665" s="12" t="str">
        <x:v>SPIDER MASK</x:v>
      </x:c>
      <x:c r="C665" s="12" t="str">
        <x:v>head</x:v>
      </x:c>
      <x:c r="D665" s="12" t="str">
        <x:v>charm</x:v>
      </x:c>
      <x:c r="E665" s="12" t="str">
        <x:v>mid</x:v>
      </x:c>
      <x:c r="F665" s="12" t="str">
        <x:v>uncommon</x:v>
      </x:c>
      <x:c r="G665" s="12" t="str">
        <x:v>Spider Visage — Omen</x:v>
      </x:c>
      <x:c r="H665" s="34" t="n">
        <x:v>0</x:v>
      </x:c>
      <x:c r="I665" s="34" t="str">
        <x:v>skill</x:v>
      </x:c>
      <x:c r="J665" s="34" t="str"/>
      <x:c r="K665" s="34" t="str"/>
      <x:c r="L665" s="34" t="str"/>
      <x:c r="M665" s="12" t="str"/>
      <x:c r="N665" s="12" t="str">
        <x:v>Charm, Passive, Survival</x:v>
      </x:c>
      <x:c r="O665" s="12" t="str">
        <x:v>Peek at the next quarry card or weak-point reward. You may mark it; if you do, gain Panic 1; If the quarry is Marked, draw 1 then discard 1.</x:v>
      </x:c>
      <x:c r="P665" s="12" t="str">
        <x:v>Peek at the next quarry AI, hit-location or weak-point reward, depending on screen. You may mark it. If marked, gain Panic 1. If played after blocking, your next Counter gains +2 damage. If the quarry is Marked, draw 1 then discard 1.</x:v>
      </x:c>
      <x:c r="Q665" s="12" t="str"/>
      <x:c r="R665" s="12" t="str">
        <x:v>quirk: counterReady+markedFocus | uniqueRider:markedFocus</x:v>
      </x:c>
      <x:c r="S665" s="12" t="str">
        <x:v>b97c9fabb1be</x:v>
      </x:c>
      <x:c r="T665" s="12" t="n">
        <x:f>COUNTIF($S$2:$S$757,S665)</x:f>
        <x:v>1</x:v>
      </x:c>
      <x:c r="U665" s="12" t="str">
        <x:f>IF(T665=1,"OK","DUPLICATE")</x:f>
        <x:v>OK</x:v>
      </x:c>
    </x:row>
    <x:row r="666" ht="39.599998474121094" hidden="0" customHeight="1">
      <x:c r="A666" s="12" t="str">
        <x:v>Spider Visage</x:v>
      </x:c>
      <x:c r="B666" s="12" t="str">
        <x:v>SPIDER MASK</x:v>
      </x:c>
      <x:c r="C666" s="12" t="str">
        <x:v>head</x:v>
      </x:c>
      <x:c r="D666" s="12" t="str">
        <x:v>charm</x:v>
      </x:c>
      <x:c r="E666" s="12" t="str">
        <x:v>mid</x:v>
      </x:c>
      <x:c r="F666" s="12" t="str">
        <x:v>uncommon</x:v>
      </x:c>
      <x:c r="G666" s="12" t="str">
        <x:v>Spider Visage — Glimmer</x:v>
      </x:c>
      <x:c r="H666" s="34" t="n">
        <x:v>0</x:v>
      </x:c>
      <x:c r="I666" s="34" t="str">
        <x:v>reaction</x:v>
      </x:c>
      <x:c r="J666" s="34" t="str"/>
      <x:c r="K666" s="34" t="str"/>
      <x:c r="L666" s="34" t="str"/>
      <x:c r="M666" s="12" t="str"/>
      <x:c r="N666" s="12" t="str">
        <x:v>Charm, Passive, Survival</x:v>
      </x:c>
      <x:c r="O666" s="12" t="str">
        <x:v>When Snared or a hunt consequence would affect you, reduce it by 2; exhaust this charm.</x:v>
      </x:c>
      <x:c r="P666" s="12" t="str">
        <x:v>When Snared, Panic, or a hunt consequence would affect this survivor, reduce it by 2; exhaust this charm until the next settlement phase. If played after blocking, your next Counter gains +2 damage.</x:v>
      </x:c>
      <x:c r="Q666" s="12" t="str"/>
      <x:c r="R666" s="12" t="str">
        <x:v>quirk: counterReady</x:v>
      </x:c>
      <x:c r="S666" s="12" t="str">
        <x:v>6f6a61815c15</x:v>
      </x:c>
      <x:c r="T666" s="12" t="n">
        <x:f>COUNTIF($S$2:$S$757,S666)</x:f>
        <x:v>1</x:v>
      </x:c>
      <x:c r="U666" s="12" t="str">
        <x:f>IF(T666=1,"OK","DUPLICATE")</x:f>
        <x:v>OK</x:v>
      </x:c>
    </x:row>
    <x:row r="667" ht="39.599998474121094" hidden="0" customHeight="1">
      <x:c r="A667" s="12" t="str">
        <x:v>Stone Noses</x:v>
      </x:c>
      <x:c r="B667" s="12" t="str">
        <x:v>STONE NOSES</x:v>
      </x:c>
      <x:c r="C667" s="12" t="str">
        <x:v>tool</x:v>
      </x:c>
      <x:c r="D667" s="12" t="str">
        <x:v>tool</x:v>
      </x:c>
      <x:c r="E667" s="12" t="str">
        <x:v>early</x:v>
      </x:c>
      <x:c r="F667" s="12" t="str">
        <x:v>common</x:v>
      </x:c>
      <x:c r="G667" s="12" t="str">
        <x:v>Stone Noses — Use</x:v>
      </x:c>
      <x:c r="H667" s="34" t="n">
        <x:v>1</x:v>
      </x:c>
      <x:c r="I667" s="34" t="str">
        <x:v>skill</x:v>
      </x:c>
      <x:c r="J667" s="34" t="str"/>
      <x:c r="K667" s="34" t="str"/>
      <x:c r="L667" s="34" t="str"/>
      <x:c r="M667" s="12" t="str">
        <x:v>Burn 1</x:v>
      </x:c>
      <x:c r="N667" s="12" t="str">
        <x:v>Tool, Harvest, Retreat</x:v>
      </x:c>
      <x:c r="O667" s="12" t="str">
        <x:v>Gain +2 to the next harvest, retreat, or weak-point test. If it fails, apply Burn 1 to the quarry or clear it from a survivor.</x:v>
      </x:c>
      <x:c r="P667" s="12" t="str">
        <x:v>Gain +2 to the next harvest, retreat, or weak-point test linked to Organ Grinder. On failure, either apply Burn 1 to the quarry or clear that status from a survivor. If you have no Bleed, Poison or Burn, add +1 to all listed values.</x:v>
      </x:c>
      <x:c r="Q667" s="12" t="str"/>
      <x:c r="R667" s="12" t="str">
        <x:v>quirk: cleanHands</x:v>
      </x:c>
      <x:c r="S667" s="12" t="str">
        <x:v>22981ef5bc96</x:v>
      </x:c>
      <x:c r="T667" s="12" t="n">
        <x:f>COUNTIF($S$2:$S$757,S667)</x:f>
        <x:v>1</x:v>
      </x:c>
      <x:c r="U667" s="12" t="str">
        <x:f>IF(T667=1,"OK","DUPLICATE")</x:f>
        <x:v>OK</x:v>
      </x:c>
    </x:row>
    <x:row r="668" ht="39.599998474121094" hidden="0" customHeight="1">
      <x:c r="A668" s="12" t="str">
        <x:v>Stone Noses</x:v>
      </x:c>
      <x:c r="B668" s="12" t="str">
        <x:v>STONE NOSES</x:v>
      </x:c>
      <x:c r="C668" s="12" t="str">
        <x:v>tool</x:v>
      </x:c>
      <x:c r="D668" s="12" t="str">
        <x:v>tool</x:v>
      </x:c>
      <x:c r="E668" s="12" t="str">
        <x:v>early</x:v>
      </x:c>
      <x:c r="F668" s="12" t="str">
        <x:v>common</x:v>
      </x:c>
      <x:c r="G668" s="12" t="str">
        <x:v>Stone Noses — Contingency</x:v>
      </x:c>
      <x:c r="H668" s="34" t="n">
        <x:v>1</x:v>
      </x:c>
      <x:c r="I668" s="34" t="str">
        <x:v>reaction</x:v>
      </x:c>
      <x:c r="J668" s="34" t="str"/>
      <x:c r="K668" s="34" t="str"/>
      <x:c r="L668" s="34" t="str"/>
      <x:c r="M668" s="12" t="str"/>
      <x:c r="N668" s="12" t="str">
        <x:v>Tool, Harvest, Retreat</x:v>
      </x:c>
      <x:c r="O668" s="12" t="str">
        <x:v>When a hunt or monster consequence is previewed, reduce it by 2; on retreat, preserve 2 gathered resource.</x:v>
      </x:c>
      <x:c r="P668" s="12" t="str">
        <x:v>When a hunt event, retreat roll, or monster consequence is previewed, reduce the penalty by 2. If retreating, preserve 2 gathered resource. If you have no Bleed, Poison or Burn, add +1 to all listed values.</x:v>
      </x:c>
      <x:c r="Q668" s="12" t="str"/>
      <x:c r="R668" s="12" t="str">
        <x:v>quirk: cleanHands</x:v>
      </x:c>
      <x:c r="S668" s="12" t="str">
        <x:v>12aac31d0bf4</x:v>
      </x:c>
      <x:c r="T668" s="12" t="n">
        <x:f>COUNTIF($S$2:$S$757,S668)</x:f>
        <x:v>1</x:v>
      </x:c>
      <x:c r="U668" s="12" t="str">
        <x:f>IF(T668=1,"OK","DUPLICATE")</x:f>
        <x:v>OK</x:v>
      </x:c>
    </x:row>
    <x:row r="669" ht="52.79999923706055" hidden="0" customHeight="1">
      <x:c r="A669" s="12" t="str">
        <x:v>Noon Lure &amp; Hook</x:v>
      </x:c>
      <x:c r="B669" s="12" t="str">
        <x:v>SUN LURE &amp; HOOK</x:v>
      </x:c>
      <x:c r="C669" s="12" t="str">
        <x:v>tool</x:v>
      </x:c>
      <x:c r="D669" s="12" t="str">
        <x:v>tool</x:v>
      </x:c>
      <x:c r="E669" s="12" t="str">
        <x:v>apex</x:v>
      </x:c>
      <x:c r="F669" s="12" t="str">
        <x:v>uncommon</x:v>
      </x:c>
      <x:c r="G669" s="12" t="str">
        <x:v>Noon Lure &amp; Hook — Use</x:v>
      </x:c>
      <x:c r="H669" s="34" t="n">
        <x:v>1</x:v>
      </x:c>
      <x:c r="I669" s="34" t="str">
        <x:v>skill</x:v>
      </x:c>
      <x:c r="J669" s="34" t="str"/>
      <x:c r="K669" s="34" t="str"/>
      <x:c r="L669" s="34" t="str"/>
      <x:c r="M669" s="12" t="str">
        <x:v>Blind 4</x:v>
      </x:c>
      <x:c r="N669" s="12" t="str">
        <x:v>Tool, Harvest, Retreat</x:v>
      </x:c>
      <x:c r="O669" s="12" t="str">
        <x:v>Gain +5 to the next harvest, retreat, or weak-point test. If it fails, apply Blind 4 to the quarry or clear it from a survivor.</x:v>
      </x:c>
      <x:c r="P669" s="12" t="str">
        <x:v>Gain +5 to the next harvest, retreat, or weak-point test linked to Sky Reef Sanctuary. On failure, either apply Blind 4 to the quarry or clear that status from a survivor. If this would drop you to 0 HP, resolve the card first, then die if still at 0 HP.</x:v>
      </x:c>
      <x:c r="Q669" s="12" t="str"/>
      <x:c r="R669" s="12" t="str">
        <x:v>quirk: lastLight</x:v>
      </x:c>
      <x:c r="S669" s="12" t="str">
        <x:v>37d28c93b639</x:v>
      </x:c>
      <x:c r="T669" s="12" t="n">
        <x:f>COUNTIF($S$2:$S$757,S669)</x:f>
        <x:v>1</x:v>
      </x:c>
      <x:c r="U669" s="12" t="str">
        <x:f>IF(T669=1,"OK","DUPLICATE")</x:f>
        <x:v>OK</x:v>
      </x:c>
    </x:row>
    <x:row r="670" ht="39.599998474121094" hidden="0" customHeight="1">
      <x:c r="A670" s="12" t="str">
        <x:v>Noon Lure &amp; Hook</x:v>
      </x:c>
      <x:c r="B670" s="12" t="str">
        <x:v>SUN LURE &amp; HOOK</x:v>
      </x:c>
      <x:c r="C670" s="12" t="str">
        <x:v>tool</x:v>
      </x:c>
      <x:c r="D670" s="12" t="str">
        <x:v>tool</x:v>
      </x:c>
      <x:c r="E670" s="12" t="str">
        <x:v>apex</x:v>
      </x:c>
      <x:c r="F670" s="12" t="str">
        <x:v>uncommon</x:v>
      </x:c>
      <x:c r="G670" s="12" t="str">
        <x:v>Noon Lure &amp; Hook — Contingency</x:v>
      </x:c>
      <x:c r="H670" s="34" t="n">
        <x:v>1</x:v>
      </x:c>
      <x:c r="I670" s="34" t="str">
        <x:v>reaction</x:v>
      </x:c>
      <x:c r="J670" s="34" t="str"/>
      <x:c r="K670" s="34" t="str"/>
      <x:c r="L670" s="34" t="str"/>
      <x:c r="M670" s="12" t="str"/>
      <x:c r="N670" s="12" t="str">
        <x:v>Tool, Harvest, Retreat</x:v>
      </x:c>
      <x:c r="O670" s="12" t="str">
        <x:v>When a hunt or monster consequence is previewed, reduce it by 5; on retreat, preserve 1 gathered resource.</x:v>
      </x:c>
      <x:c r="P670" s="12" t="str">
        <x:v>When a hunt event, retreat roll, or monster consequence is previewed, reduce the penalty by 5. If retreating, preserve 1 gathered resource. If this would drop you to 0 HP, resolve the card first, then die if still at 0 HP.</x:v>
      </x:c>
      <x:c r="Q670" s="12" t="str"/>
      <x:c r="R670" s="12" t="str">
        <x:v>quirk: lastLight</x:v>
      </x:c>
      <x:c r="S670" s="12" t="str">
        <x:v>77d263f61105</x:v>
      </x:c>
      <x:c r="T670" s="12" t="n">
        <x:f>COUNTIF($S$2:$S$757,S670)</x:f>
        <x:v>1</x:v>
      </x:c>
      <x:c r="U670" s="12" t="str">
        <x:f>IF(T670=1,"OK","DUPLICATE")</x:f>
        <x:v>OK</x:v>
      </x:c>
    </x:row>
    <x:row r="671" ht="39.599998474121094" hidden="0" customHeight="1">
      <x:c r="A671" s="12" t="str">
        <x:v>Noonshark Arrows</x:v>
      </x:c>
      <x:c r="B671" s="12" t="str">
        <x:v>SUNSHARK ARROWS</x:v>
      </x:c>
      <x:c r="C671" s="12" t="str">
        <x:v>weapon</x:v>
      </x:c>
      <x:c r="D671" s="12" t="str">
        <x:v>bow</x:v>
      </x:c>
      <x:c r="E671" s="12" t="str">
        <x:v>apex</x:v>
      </x:c>
      <x:c r="F671" s="12" t="str">
        <x:v>uncommon</x:v>
      </x:c>
      <x:c r="G671" s="12" t="str">
        <x:v>Noonshark Arrows — Opening Strike</x:v>
      </x:c>
      <x:c r="H671" s="34" t="n">
        <x:v>1</x:v>
      </x:c>
      <x:c r="I671" s="34" t="str">
        <x:v>attack</x:v>
      </x:c>
      <x:c r="J671" s="34" t="n">
        <x:v>5</x:v>
      </x:c>
      <x:c r="K671" s="34" t="n">
        <x:v>2</x:v>
      </x:c>
      <x:c r="L671" s="34" t="str"/>
      <x:c r="M671" s="12" t="str">
        <x:v>Blind 2 | Target: Sunstalker</x:v>
      </x:c>
      <x:c r="N671" s="12" t="str">
        <x:v>Ranged, Marking, Precise, Attack</x:v>
      </x:c>
      <x:c r="O671" s="12" t="str">
        <x:v>Deal 5 damage. Apply Blind 2 if the target has a Sunstalker weak point, otherwise gain Marked 1.</x:v>
      </x:c>
      <x:c r="P671" s="12" t="str">
        <x:v>Deal 5 damage with Noonshark Arrows. Apply Blind 2 against a matching Sunstalker weak point; otherwise apply Marked 1. After use, Exhaust this equipment until the next monster turn.</x:v>
      </x:c>
      <x:c r="Q671" s="12" t="str"/>
      <x:c r="R671" s="12" t="str">
        <x:v>quirk: exhaust</x:v>
      </x:c>
      <x:c r="S671" s="12" t="str">
        <x:v>84bf923f8110</x:v>
      </x:c>
      <x:c r="T671" s="12" t="n">
        <x:f>COUNTIF($S$2:$S$757,S671)</x:f>
        <x:v>1</x:v>
      </x:c>
      <x:c r="U671" s="12" t="str">
        <x:f>IF(T671=1,"OK","DUPLICATE")</x:f>
        <x:v>OK</x:v>
      </x:c>
    </x:row>
    <x:row r="672" ht="26.399999618530273" hidden="0" customHeight="1">
      <x:c r="A672" s="12" t="str">
        <x:v>Noonshark Arrows</x:v>
      </x:c>
      <x:c r="B672" s="12" t="str">
        <x:v>SUNSHARK ARROWS</x:v>
      </x:c>
      <x:c r="C672" s="12" t="str">
        <x:v>weapon</x:v>
      </x:c>
      <x:c r="D672" s="12" t="str">
        <x:v>bow</x:v>
      </x:c>
      <x:c r="E672" s="12" t="str">
        <x:v>apex</x:v>
      </x:c>
      <x:c r="F672" s="12" t="str">
        <x:v>uncommon</x:v>
      </x:c>
      <x:c r="G672" s="12" t="str">
        <x:v>Noonshark Arrows — Technique</x:v>
      </x:c>
      <x:c r="H672" s="34" t="n">
        <x:v>2</x:v>
      </x:c>
      <x:c r="I672" s="34" t="str">
        <x:v>skill</x:v>
      </x:c>
      <x:c r="J672" s="34" t="str"/>
      <x:c r="K672" s="34" t="str"/>
      <x:c r="L672" s="34" t="n">
        <x:v>5</x:v>
      </x:c>
      <x:c r="M672" s="12" t="str">
        <x:v>Opens: True</x:v>
      </x:c>
      <x:c r="N672" s="12" t="str">
        <x:v>Ranged, Marking, Precise, Setup</x:v>
      </x:c>
      <x:c r="O672" s="12" t="str">
        <x:v>Mark a wing, eye or distant weak point; ranged attacks ignore Guarded 1. Also gain 5 block.</x:v>
      </x:c>
      <x:c r="P672" s="12" t="str">
        <x:v>Mark a wing, eye or distant weak point; ranged attacks ignore Guarded 1. gain 5 block. After use, Exhaust this equipment until the next monster turn.</x:v>
      </x:c>
      <x:c r="Q672" s="12" t="str"/>
      <x:c r="R672" s="12" t="str">
        <x:v>quirk: exhaust</x:v>
      </x:c>
      <x:c r="S672" s="12" t="str">
        <x:v>f7770d420606</x:v>
      </x:c>
      <x:c r="T672" s="12" t="n">
        <x:f>COUNTIF($S$2:$S$757,S672)</x:f>
        <x:v>1</x:v>
      </x:c>
      <x:c r="U672" s="12" t="str">
        <x:f>IF(T672=1,"OK","DUPLICATE")</x:f>
        <x:v>OK</x:v>
      </x:c>
    </x:row>
    <x:row r="673" ht="26.399999618530273" hidden="0" customHeight="1">
      <x:c r="A673" s="12" t="str">
        <x:v>Noonshark Arrows</x:v>
      </x:c>
      <x:c r="B673" s="12" t="str">
        <x:v>SUNSHARK ARROWS</x:v>
      </x:c>
      <x:c r="C673" s="12" t="str">
        <x:v>weapon</x:v>
      </x:c>
      <x:c r="D673" s="12" t="str">
        <x:v>bow</x:v>
      </x:c>
      <x:c r="E673" s="12" t="str">
        <x:v>apex</x:v>
      </x:c>
      <x:c r="F673" s="12" t="str">
        <x:v>uncommon</x:v>
      </x:c>
      <x:c r="G673" s="12" t="str">
        <x:v>Noonshark Arrows — Payoff</x:v>
      </x:c>
      <x:c r="H673" s="34" t="n">
        <x:v>2</x:v>
      </x:c>
      <x:c r="I673" s="34" t="str">
        <x:v>attack</x:v>
      </x:c>
      <x:c r="J673" s="34" t="n">
        <x:v>9</x:v>
      </x:c>
      <x:c r="K673" s="34" t="n">
        <x:v>3</x:v>
      </x:c>
      <x:c r="L673" s="34" t="str"/>
      <x:c r="M673" s="12" t="str">
        <x:v>Blind 1</x:v>
      </x:c>
      <x:c r="N673" s="12" t="str">
        <x:v>Ranged, Marking, Precise, Payoff, WeakPoint</x:v>
      </x:c>
      <x:c r="O673" s="12" t="str">
        <x:v>Deal 9 damage and 3 break damage. If this breaks a weak point, resolve Blind 1 and the exhaust rider.</x:v>
      </x:c>
      <x:c r="P673" s="12" t="str">
        <x:v>Deal 9 damage and 3 break damage. If the weak point breaks, apply Blind 1 and resolve: After use, Exhaust this equipment until the next monster turn.</x:v>
      </x:c>
      <x:c r="Q673" s="12" t="str"/>
      <x:c r="R673" s="12" t="str">
        <x:v>quirk: exhaust | countsAsCounter False, firstCounterFree False</x:v>
      </x:c>
      <x:c r="S673" s="12" t="str">
        <x:v>c897e9883f5e</x:v>
      </x:c>
      <x:c r="T673" s="12" t="n">
        <x:f>COUNTIF($S$2:$S$757,S673)</x:f>
        <x:v>1</x:v>
      </x:c>
      <x:c r="U673" s="12" t="str">
        <x:f>IF(T673=1,"OK","DUPLICATE")</x:f>
        <x:v>OK</x:v>
      </x:c>
    </x:row>
    <x:row r="674" ht="39.599998474121094" hidden="0" customHeight="1">
      <x:c r="A674" s="12" t="str">
        <x:v>Noonshark Bow</x:v>
      </x:c>
      <x:c r="B674" s="12" t="str">
        <x:v>SUNSHARK BOW</x:v>
      </x:c>
      <x:c r="C674" s="12" t="str">
        <x:v>weapon</x:v>
      </x:c>
      <x:c r="D674" s="12" t="str">
        <x:v>bow</x:v>
      </x:c>
      <x:c r="E674" s="12" t="str">
        <x:v>apex</x:v>
      </x:c>
      <x:c r="F674" s="12" t="str">
        <x:v>uncommon</x:v>
      </x:c>
      <x:c r="G674" s="12" t="str">
        <x:v>Noonshark Bow — Opening Strike</x:v>
      </x:c>
      <x:c r="H674" s="34" t="n">
        <x:v>1</x:v>
      </x:c>
      <x:c r="I674" s="34" t="str">
        <x:v>attack</x:v>
      </x:c>
      <x:c r="J674" s="34" t="n">
        <x:v>4</x:v>
      </x:c>
      <x:c r="K674" s="34" t="n">
        <x:v>3</x:v>
      </x:c>
      <x:c r="L674" s="34" t="str"/>
      <x:c r="M674" s="12" t="str">
        <x:v>Blind 3 | Target: Sunstalker</x:v>
      </x:c>
      <x:c r="N674" s="12" t="str">
        <x:v>Ranged, Marking, Precise, Attack</x:v>
      </x:c>
      <x:c r="O674" s="12" t="str">
        <x:v>Deal 4 damage. Apply Blind 3 if the target has a Sunstalker weak point, otherwise gain Marked 1.</x:v>
      </x:c>
      <x:c r="P674" s="12" t="str">
        <x:v>Deal 4 damage with Noonshark Bow. Apply Blind 3 against a matching Sunstalker weak point; otherwise apply Marked 1. On a failed harvest, keep one common fallback material.</x:v>
      </x:c>
      <x:c r="Q674" s="12" t="str"/>
      <x:c r="R674" s="12" t="str">
        <x:v>quirk: salvage</x:v>
      </x:c>
      <x:c r="S674" s="12" t="str">
        <x:v>0c0a7e358f5c</x:v>
      </x:c>
      <x:c r="T674" s="12" t="n">
        <x:f>COUNTIF($S$2:$S$757,S674)</x:f>
        <x:v>1</x:v>
      </x:c>
      <x:c r="U674" s="12" t="str">
        <x:f>IF(T674=1,"OK","DUPLICATE")</x:f>
        <x:v>OK</x:v>
      </x:c>
    </x:row>
    <x:row r="675" ht="26.399999618530273" hidden="0" customHeight="1">
      <x:c r="A675" s="12" t="str">
        <x:v>Noonshark Bow</x:v>
      </x:c>
      <x:c r="B675" s="12" t="str">
        <x:v>SUNSHARK BOW</x:v>
      </x:c>
      <x:c r="C675" s="12" t="str">
        <x:v>weapon</x:v>
      </x:c>
      <x:c r="D675" s="12" t="str">
        <x:v>bow</x:v>
      </x:c>
      <x:c r="E675" s="12" t="str">
        <x:v>apex</x:v>
      </x:c>
      <x:c r="F675" s="12" t="str">
        <x:v>uncommon</x:v>
      </x:c>
      <x:c r="G675" s="12" t="str">
        <x:v>Noonshark Bow — Technique</x:v>
      </x:c>
      <x:c r="H675" s="34" t="n">
        <x:v>1</x:v>
      </x:c>
      <x:c r="I675" s="34" t="str">
        <x:v>skill</x:v>
      </x:c>
      <x:c r="J675" s="34" t="str"/>
      <x:c r="K675" s="34" t="str"/>
      <x:c r="L675" s="34" t="n">
        <x:v>4</x:v>
      </x:c>
      <x:c r="M675" s="12" t="str">
        <x:v>Opens: True</x:v>
      </x:c>
      <x:c r="N675" s="12" t="str">
        <x:v>Ranged, Marking, Precise, Setup</x:v>
      </x:c>
      <x:c r="O675" s="12" t="str">
        <x:v>Mark a wing, eye or distant weak point; ranged attacks ignore Guarded 1. Also gain 4 block.</x:v>
      </x:c>
      <x:c r="P675" s="12" t="str">
        <x:v>Mark a wing, eye or distant weak point; ranged attacks ignore Guarded 1. Gain 4 block. On a failed harvest, keep one common fallback material.</x:v>
      </x:c>
      <x:c r="Q675" s="12" t="str"/>
      <x:c r="R675" s="12" t="str">
        <x:v>quirk: salvage</x:v>
      </x:c>
      <x:c r="S675" s="12" t="str">
        <x:v>dff4e46f058b</x:v>
      </x:c>
      <x:c r="T675" s="12" t="n">
        <x:f>COUNTIF($S$2:$S$757,S675)</x:f>
        <x:v>1</x:v>
      </x:c>
      <x:c r="U675" s="12" t="str">
        <x:f>IF(T675=1,"OK","DUPLICATE")</x:f>
        <x:v>OK</x:v>
      </x:c>
    </x:row>
    <x:row r="676" ht="26.399999618530273" hidden="0" customHeight="1">
      <x:c r="A676" s="12" t="str">
        <x:v>Noonshark Bow</x:v>
      </x:c>
      <x:c r="B676" s="12" t="str">
        <x:v>SUNSHARK BOW</x:v>
      </x:c>
      <x:c r="C676" s="12" t="str">
        <x:v>weapon</x:v>
      </x:c>
      <x:c r="D676" s="12" t="str">
        <x:v>bow</x:v>
      </x:c>
      <x:c r="E676" s="12" t="str">
        <x:v>apex</x:v>
      </x:c>
      <x:c r="F676" s="12" t="str">
        <x:v>uncommon</x:v>
      </x:c>
      <x:c r="G676" s="12" t="str">
        <x:v>Noonshark Bow — Payoff</x:v>
      </x:c>
      <x:c r="H676" s="34" t="n">
        <x:v>2</x:v>
      </x:c>
      <x:c r="I676" s="34" t="str">
        <x:v>attack</x:v>
      </x:c>
      <x:c r="J676" s="34" t="n">
        <x:v>6</x:v>
      </x:c>
      <x:c r="K676" s="34" t="n">
        <x:v>4</x:v>
      </x:c>
      <x:c r="L676" s="34" t="str"/>
      <x:c r="M676" s="12" t="str">
        <x:v>Blind 2</x:v>
      </x:c>
      <x:c r="N676" s="12" t="str">
        <x:v>Ranged, Marking, Precise, Payoff, WeakPoint</x:v>
      </x:c>
      <x:c r="O676" s="12" t="str">
        <x:v>Deal 6 damage and 4 break damage. If this breaks a weak point, resolve Blind 2 and the salvage rider.</x:v>
      </x:c>
      <x:c r="P676" s="12" t="str">
        <x:v>Deal 6 damage and 4 break damage. If the weak point breaks, apply Blind 2 and resolve: On a failed harvest, keep one common fallback material.</x:v>
      </x:c>
      <x:c r="Q676" s="12" t="str"/>
      <x:c r="R676" s="12" t="str">
        <x:v>quirk: salvage | countsAsCounter False, firstCounterFree False</x:v>
      </x:c>
      <x:c r="S676" s="12" t="str">
        <x:v>5bef445d144f</x:v>
      </x:c>
      <x:c r="T676" s="12" t="n">
        <x:f>COUNTIF($S$2:$S$757,S676)</x:f>
        <x:v>1</x:v>
      </x:c>
      <x:c r="U676" s="12" t="str">
        <x:f>IF(T676=1,"OK","DUPLICATE")</x:f>
        <x:v>OK</x:v>
      </x:c>
    </x:row>
    <x:row r="677" ht="39.599998474121094" hidden="0" customHeight="1">
      <x:c r="A677" s="12" t="str">
        <x:v>Noonspot Dart</x:v>
      </x:c>
      <x:c r="B677" s="12" t="str">
        <x:v>SUNSPOT DART</x:v>
      </x:c>
      <x:c r="C677" s="12" t="str">
        <x:v>weapon</x:v>
      </x:c>
      <x:c r="D677" s="12" t="str">
        <x:v>bow</x:v>
      </x:c>
      <x:c r="E677" s="12" t="str">
        <x:v>apex</x:v>
      </x:c>
      <x:c r="F677" s="12" t="str">
        <x:v>uncommon</x:v>
      </x:c>
      <x:c r="G677" s="12" t="str">
        <x:v>Noonspot Dart — Opening Strike</x:v>
      </x:c>
      <x:c r="H677" s="34" t="n">
        <x:v>1</x:v>
      </x:c>
      <x:c r="I677" s="34" t="str">
        <x:v>attack</x:v>
      </x:c>
      <x:c r="J677" s="34" t="n">
        <x:v>5</x:v>
      </x:c>
      <x:c r="K677" s="34" t="n">
        <x:v>4</x:v>
      </x:c>
      <x:c r="L677" s="34" t="str"/>
      <x:c r="M677" s="12" t="str">
        <x:v>Blind 4 | Target: Sunstalker</x:v>
      </x:c>
      <x:c r="N677" s="12" t="str">
        <x:v>Ranged, Marking, Precise, Attack</x:v>
      </x:c>
      <x:c r="O677" s="12" t="str">
        <x:v>Deal 5 damage. Apply Blind 4 if the target has a Sunstalker weak point, otherwise gain Marked 1.</x:v>
      </x:c>
      <x:c r="P677" s="12" t="str">
        <x:v>Deal 5 damage with Noonspot Dart. Apply Blind 4 against a matching Sunstalker weak point; otherwise apply Marked 1. If this is the only card you play this turn, gain +2 block.</x:v>
      </x:c>
      <x:c r="Q677" s="12" t="str"/>
      <x:c r="R677" s="12" t="str">
        <x:v>quirk: stance</x:v>
      </x:c>
      <x:c r="S677" s="12" t="str">
        <x:v>3d12adfa34ed</x:v>
      </x:c>
      <x:c r="T677" s="12" t="n">
        <x:f>COUNTIF($S$2:$S$757,S677)</x:f>
        <x:v>1</x:v>
      </x:c>
      <x:c r="U677" s="12" t="str">
        <x:f>IF(T677=1,"OK","DUPLICATE")</x:f>
        <x:v>OK</x:v>
      </x:c>
    </x:row>
    <x:row r="678" ht="26.399999618530273" hidden="0" customHeight="1">
      <x:c r="A678" s="12" t="str">
        <x:v>Noonspot Dart</x:v>
      </x:c>
      <x:c r="B678" s="12" t="str">
        <x:v>SUNSPOT DART</x:v>
      </x:c>
      <x:c r="C678" s="12" t="str">
        <x:v>weapon</x:v>
      </x:c>
      <x:c r="D678" s="12" t="str">
        <x:v>bow</x:v>
      </x:c>
      <x:c r="E678" s="12" t="str">
        <x:v>apex</x:v>
      </x:c>
      <x:c r="F678" s="12" t="str">
        <x:v>uncommon</x:v>
      </x:c>
      <x:c r="G678" s="12" t="str">
        <x:v>Noonspot Dart — Technique</x:v>
      </x:c>
      <x:c r="H678" s="34" t="n">
        <x:v>2</x:v>
      </x:c>
      <x:c r="I678" s="34" t="str">
        <x:v>skill</x:v>
      </x:c>
      <x:c r="J678" s="34" t="str"/>
      <x:c r="K678" s="34" t="str"/>
      <x:c r="L678" s="34" t="n">
        <x:v>5</x:v>
      </x:c>
      <x:c r="M678" s="12" t="str">
        <x:v>Opens: True</x:v>
      </x:c>
      <x:c r="N678" s="12" t="str">
        <x:v>Ranged, Marking, Precise, Setup</x:v>
      </x:c>
      <x:c r="O678" s="12" t="str">
        <x:v>Mark a wing, eye or distant weak point; ranged attacks ignore Guarded 1. Also gain 5 block.</x:v>
      </x:c>
      <x:c r="P678" s="12" t="str">
        <x:v>Mark a wing, eye or distant weak point; ranged attacks ignore Guarded 1. Gain 5 block. If this is the only card you play this turn, gain +2 block.</x:v>
      </x:c>
      <x:c r="Q678" s="12" t="str"/>
      <x:c r="R678" s="12" t="str">
        <x:v>quirk: stance</x:v>
      </x:c>
      <x:c r="S678" s="12" t="str">
        <x:v>41c1edcc9810</x:v>
      </x:c>
      <x:c r="T678" s="12" t="n">
        <x:f>COUNTIF($S$2:$S$757,S678)</x:f>
        <x:v>1</x:v>
      </x:c>
      <x:c r="U678" s="12" t="str">
        <x:f>IF(T678=1,"OK","DUPLICATE")</x:f>
        <x:v>OK</x:v>
      </x:c>
    </x:row>
    <x:row r="679" ht="26.399999618530273" hidden="0" customHeight="1">
      <x:c r="A679" s="12" t="str">
        <x:v>Noonspot Dart</x:v>
      </x:c>
      <x:c r="B679" s="12" t="str">
        <x:v>SUNSPOT DART</x:v>
      </x:c>
      <x:c r="C679" s="12" t="str">
        <x:v>weapon</x:v>
      </x:c>
      <x:c r="D679" s="12" t="str">
        <x:v>bow</x:v>
      </x:c>
      <x:c r="E679" s="12" t="str">
        <x:v>apex</x:v>
      </x:c>
      <x:c r="F679" s="12" t="str">
        <x:v>uncommon</x:v>
      </x:c>
      <x:c r="G679" s="12" t="str">
        <x:v>Noonspot Dart — Payoff</x:v>
      </x:c>
      <x:c r="H679" s="34" t="n">
        <x:v>2</x:v>
      </x:c>
      <x:c r="I679" s="34" t="str">
        <x:v>attack</x:v>
      </x:c>
      <x:c r="J679" s="34" t="n">
        <x:v>7</x:v>
      </x:c>
      <x:c r="K679" s="34" t="n">
        <x:v>5</x:v>
      </x:c>
      <x:c r="L679" s="34" t="str"/>
      <x:c r="M679" s="12" t="str">
        <x:v>Blind 3</x:v>
      </x:c>
      <x:c r="N679" s="12" t="str">
        <x:v>Ranged, Marking, Precise, Payoff, WeakPoint</x:v>
      </x:c>
      <x:c r="O679" s="12" t="str">
        <x:v>Deal 7 damage and 5 break damage. If this breaks a weak point, resolve Blind 3 and the stance rider.</x:v>
      </x:c>
      <x:c r="P679" s="12" t="str">
        <x:v>Deal 7 damage and 5 break damage. If the weak point breaks, apply Blind 3 and resolve: If this is the only card you play this turn, gain +2 block.</x:v>
      </x:c>
      <x:c r="Q679" s="12" t="str"/>
      <x:c r="R679" s="12" t="str">
        <x:v>quirk: stance | countsAsCounter False, firstCounterFree False</x:v>
      </x:c>
      <x:c r="S679" s="12" t="str">
        <x:v>e23822d5b5dc</x:v>
      </x:c>
      <x:c r="T679" s="12" t="n">
        <x:f>COUNTIF($S$2:$S$757,S679)</x:f>
        <x:v>1</x:v>
      </x:c>
      <x:c r="U679" s="12" t="str">
        <x:f>IF(T679=1,"OK","DUPLICATE")</x:f>
        <x:v>OK</x:v>
      </x:c>
    </x:row>
    <x:row r="680" ht="39.599998474121094" hidden="0" customHeight="1">
      <x:c r="A680" s="12" t="str">
        <x:v>Noonspot Lantern</x:v>
      </x:c>
      <x:c r="B680" s="12" t="str">
        <x:v>SUNSPOT LANTERN</x:v>
      </x:c>
      <x:c r="C680" s="12" t="str">
        <x:v>tool</x:v>
      </x:c>
      <x:c r="D680" s="12" t="str">
        <x:v>consumable</x:v>
      </x:c>
      <x:c r="E680" s="12" t="str">
        <x:v>apex</x:v>
      </x:c>
      <x:c r="F680" s="12" t="str">
        <x:v>uncommon</x:v>
      </x:c>
      <x:c r="G680" s="12" t="str">
        <x:v>Noonspot Lantern — Use</x:v>
      </x:c>
      <x:c r="H680" s="34" t="n">
        <x:v>0</x:v>
      </x:c>
      <x:c r="I680" s="34" t="str">
        <x:v>skill</x:v>
      </x:c>
      <x:c r="J680" s="34" t="str"/>
      <x:c r="K680" s="34" t="str"/>
      <x:c r="L680" s="34" t="str"/>
      <x:c r="M680" s="12" t="str">
        <x:v>Blind 2</x:v>
      </x:c>
      <x:c r="N680" s="12" t="str">
        <x:v>Tool, Survival, Retreat</x:v>
      </x:c>
      <x:c r="O680" s="12" t="str">
        <x:v>Gain +3 to the next harvest, retreat, or weak-point test. If it fails, apply Blind 2 to the quarry or clear it from a survivor.</x:v>
      </x:c>
      <x:c r="P680" s="12" t="str">
        <x:v>Gain +3 to the next harvest, retreat, or weak-point test linked to Sky Reef Sanctuary. On failure, either apply Blind 2 to the quarry or clear that status from a survivor. If the quarry is Marked, draw 1 then discard 1.</x:v>
      </x:c>
      <x:c r="Q680" s="12" t="str"/>
      <x:c r="R680" s="12" t="str">
        <x:v>quirk: marked</x:v>
      </x:c>
      <x:c r="S680" s="12" t="str">
        <x:v>eef048ef184f</x:v>
      </x:c>
      <x:c r="T680" s="12" t="n">
        <x:f>COUNTIF($S$2:$S$757,S680)</x:f>
        <x:v>1</x:v>
      </x:c>
      <x:c r="U680" s="12" t="str">
        <x:f>IF(T680=1,"OK","DUPLICATE")</x:f>
        <x:v>OK</x:v>
      </x:c>
    </x:row>
    <x:row r="681" ht="52.79999923706055" hidden="0" customHeight="1">
      <x:c r="A681" s="12" t="str">
        <x:v>Noonspot Lantern</x:v>
      </x:c>
      <x:c r="B681" s="12" t="str">
        <x:v>SUNSPOT LANTERN</x:v>
      </x:c>
      <x:c r="C681" s="12" t="str">
        <x:v>tool</x:v>
      </x:c>
      <x:c r="D681" s="12" t="str">
        <x:v>consumable</x:v>
      </x:c>
      <x:c r="E681" s="12" t="str">
        <x:v>apex</x:v>
      </x:c>
      <x:c r="F681" s="12" t="str">
        <x:v>uncommon</x:v>
      </x:c>
      <x:c r="G681" s="12" t="str">
        <x:v>Noonspot Lantern — Contingency</x:v>
      </x:c>
      <x:c r="H681" s="34" t="n">
        <x:v>1</x:v>
      </x:c>
      <x:c r="I681" s="34" t="str">
        <x:v>reaction</x:v>
      </x:c>
      <x:c r="J681" s="34" t="str"/>
      <x:c r="K681" s="34" t="str"/>
      <x:c r="L681" s="34" t="str"/>
      <x:c r="M681" s="12" t="str"/>
      <x:c r="N681" s="12" t="str">
        <x:v>Tool, Survival, Retreat</x:v>
      </x:c>
      <x:c r="O681" s="12" t="str">
        <x:v>When a hunt or monster consequence is previewed, reduce it by 3; on retreat, preserve 1 gathered resource; If this is your first card this turn, ignore Guarded 1 on the quarry.</x:v>
      </x:c>
      <x:c r="P681" s="12" t="str">
        <x:v>When a hunt event, retreat roll, or monster consequence is previewed, reduce the penalty by 3. If retreating, preserve 1 gathered resource. If the quarry is Marked, draw 1 then discard 1. If this is your first card this turn, ignore Guarded 1 on the quarry.</x:v>
      </x:c>
      <x:c r="Q681" s="12" t="str"/>
      <x:c r="R681" s="12" t="str">
        <x:v>quirk: marked+steadyHands | visibleUnique:steadyHands</x:v>
      </x:c>
      <x:c r="S681" s="12" t="str">
        <x:v>4ce4a44e4775</x:v>
      </x:c>
      <x:c r="T681" s="12" t="n">
        <x:f>COUNTIF($S$2:$S$757,S681)</x:f>
        <x:v>1</x:v>
      </x:c>
      <x:c r="U681" s="12" t="str">
        <x:f>IF(T681=1,"OK","DUPLICATE")</x:f>
        <x:v>OK</x:v>
      </x:c>
    </x:row>
    <x:row r="682" ht="39.599998474121094" hidden="0" customHeight="1">
      <x:c r="A682" s="12" t="str">
        <x:v>Survivor's Lantern</x:v>
      </x:c>
      <x:c r="B682" s="12" t="str">
        <x:v>SURVIVOR'S LANTERN</x:v>
      </x:c>
      <x:c r="C682" s="12" t="str">
        <x:v>tool</x:v>
      </x:c>
      <x:c r="D682" s="12" t="str">
        <x:v>consumable</x:v>
      </x:c>
      <x:c r="E682" s="12" t="str">
        <x:v>early</x:v>
      </x:c>
      <x:c r="F682" s="12" t="str">
        <x:v>common</x:v>
      </x:c>
      <x:c r="G682" s="12" t="str">
        <x:v>Survivor's Lantern — Use</x:v>
      </x:c>
      <x:c r="H682" s="34" t="n">
        <x:v>0</x:v>
      </x:c>
      <x:c r="I682" s="34" t="str">
        <x:v>skill</x:v>
      </x:c>
      <x:c r="J682" s="34" t="str"/>
      <x:c r="K682" s="34" t="str"/>
      <x:c r="L682" s="34" t="str"/>
      <x:c r="M682" s="12" t="str">
        <x:v>Exposed 1</x:v>
      </x:c>
      <x:c r="N682" s="12" t="str">
        <x:v>Tool, Survival, Retreat</x:v>
      </x:c>
      <x:c r="O682" s="12" t="str">
        <x:v>Gain +2 to the next harvest, retreat, or weak-point test. If it fails, apply Exposed 1 to the quarry or clear it from a survivor.</x:v>
      </x:c>
      <x:c r="P682" s="12" t="str">
        <x:v>Gain +2 to the next harvest, retreat, or weak-point test linked to Exhausted Lantern Hoard. On failure, either apply Exposed 1 to the quarry or clear that status from a survivor. If you have Guarded, convert 1 Guarded into +2 damage.</x:v>
      </x:c>
      <x:c r="Q682" s="12" t="str"/>
      <x:c r="R682" s="12" t="str">
        <x:v>quirk: guarded</x:v>
      </x:c>
      <x:c r="S682" s="12" t="str">
        <x:v>7f0198dff748</x:v>
      </x:c>
      <x:c r="T682" s="12" t="n">
        <x:f>COUNTIF($S$2:$S$757,S682)</x:f>
        <x:v>1</x:v>
      </x:c>
      <x:c r="U682" s="12" t="str">
        <x:f>IF(T682=1,"OK","DUPLICATE")</x:f>
        <x:v>OK</x:v>
      </x:c>
    </x:row>
    <x:row r="683" ht="39.599998474121094" hidden="0" customHeight="1">
      <x:c r="A683" s="12" t="str">
        <x:v>Survivor's Lantern</x:v>
      </x:c>
      <x:c r="B683" s="12" t="str">
        <x:v>SURVIVOR'S LANTERN</x:v>
      </x:c>
      <x:c r="C683" s="12" t="str">
        <x:v>tool</x:v>
      </x:c>
      <x:c r="D683" s="12" t="str">
        <x:v>consumable</x:v>
      </x:c>
      <x:c r="E683" s="12" t="str">
        <x:v>early</x:v>
      </x:c>
      <x:c r="F683" s="12" t="str">
        <x:v>common</x:v>
      </x:c>
      <x:c r="G683" s="12" t="str">
        <x:v>Survivor's Lantern — Contingency</x:v>
      </x:c>
      <x:c r="H683" s="34" t="n">
        <x:v>1</x:v>
      </x:c>
      <x:c r="I683" s="34" t="str">
        <x:v>reaction</x:v>
      </x:c>
      <x:c r="J683" s="34" t="str"/>
      <x:c r="K683" s="34" t="str"/>
      <x:c r="L683" s="34" t="str"/>
      <x:c r="M683" s="12" t="str"/>
      <x:c r="N683" s="12" t="str">
        <x:v>Tool, Survival, Retreat</x:v>
      </x:c>
      <x:c r="O683" s="12" t="str">
        <x:v>When a hunt or monster consequence is previewed, reduce it by 2; on retreat, preserve 2 gathered resource.</x:v>
      </x:c>
      <x:c r="P683" s="12" t="str">
        <x:v>When a hunt event, retreat roll, or monster consequence is previewed, reduce the penalty by 2. If retreating, preserve 2 gathered resource. If you have Guarded, convert 1 Guarded into +2 damage.</x:v>
      </x:c>
      <x:c r="Q683" s="12" t="str"/>
      <x:c r="R683" s="12" t="str">
        <x:v>quirk: guarded</x:v>
      </x:c>
      <x:c r="S683" s="12" t="str">
        <x:v>5abc9d788d33</x:v>
      </x:c>
      <x:c r="T683" s="12" t="n">
        <x:f>COUNTIF($S$2:$S$757,S683)</x:f>
        <x:v>1</x:v>
      </x:c>
      <x:c r="U683" s="12" t="str">
        <x:f>IF(T683=1,"OK","DUPLICATE")</x:f>
        <x:v>OK</x:v>
      </x:c>
    </x:row>
    <x:row r="684" ht="39.599998474121094" hidden="0" customHeight="1">
      <x:c r="A684" s="12" t="str">
        <x:v>Switch Poleaxe</x:v>
      </x:c>
      <x:c r="B684" s="12" t="str">
        <x:v>SWITCH POLEAXE</x:v>
      </x:c>
      <x:c r="C684" s="12" t="str">
        <x:v>weapon</x:v>
      </x:c>
      <x:c r="D684" s="12" t="str">
        <x:v>axe</x:v>
      </x:c>
      <x:c r="E684" s="12" t="str">
        <x:v>mid</x:v>
      </x:c>
      <x:c r="F684" s="12" t="str">
        <x:v>uncommon</x:v>
      </x:c>
      <x:c r="G684" s="12" t="str">
        <x:v>Switch Poleaxe — Opening Strike</x:v>
      </x:c>
      <x:c r="H684" s="34" t="n">
        <x:v>1</x:v>
      </x:c>
      <x:c r="I684" s="34" t="str">
        <x:v>attack</x:v>
      </x:c>
      <x:c r="J684" s="34" t="n">
        <x:v>5</x:v>
      </x:c>
      <x:c r="K684" s="34" t="n">
        <x:v>4</x:v>
      </x:c>
      <x:c r="L684" s="34" t="str"/>
      <x:c r="M684" s="12" t="str">
        <x:v>Marked 3 | Target: Spurkulese</x:v>
      </x:c>
      <x:c r="N684" s="12" t="str">
        <x:v>Heavy, Brutal, Harvest, Attack</x:v>
      </x:c>
      <x:c r="O684" s="12" t="str">
        <x:v>Deal 5 damage. Apply Marked 3 if the target has a Spurkulese weak point, otherwise gain Marked 1.</x:v>
      </x:c>
      <x:c r="P684" s="12" t="str">
        <x:v>Deal 5 damage with Switch Poleaxe. Apply Marked 3 against a matching Spurkulese weak point; otherwise apply Marked 1. If you deal no HP damage, gain +2 break damage.</x:v>
      </x:c>
      <x:c r="Q684" s="12" t="str"/>
      <x:c r="R684" s="12" t="str">
        <x:v>quirk: careful</x:v>
      </x:c>
      <x:c r="S684" s="12" t="str">
        <x:v>0915b3f3da87</x:v>
      </x:c>
      <x:c r="T684" s="12" t="n">
        <x:f>COUNTIF($S$2:$S$757,S684)</x:f>
        <x:v>1</x:v>
      </x:c>
      <x:c r="U684" s="12" t="str">
        <x:f>IF(T684=1,"OK","DUPLICATE")</x:f>
        <x:v>OK</x:v>
      </x:c>
    </x:row>
    <x:row r="685" ht="26.399999618530273" hidden="0" customHeight="1">
      <x:c r="A685" s="12" t="str">
        <x:v>Switch Poleaxe</x:v>
      </x:c>
      <x:c r="B685" s="12" t="str">
        <x:v>SWITCH POLEAXE</x:v>
      </x:c>
      <x:c r="C685" s="12" t="str">
        <x:v>weapon</x:v>
      </x:c>
      <x:c r="D685" s="12" t="str">
        <x:v>axe</x:v>
      </x:c>
      <x:c r="E685" s="12" t="str">
        <x:v>mid</x:v>
      </x:c>
      <x:c r="F685" s="12" t="str">
        <x:v>uncommon</x:v>
      </x:c>
      <x:c r="G685" s="12" t="str">
        <x:v>Switch Poleaxe — Technique</x:v>
      </x:c>
      <x:c r="H685" s="34" t="n">
        <x:v>2</x:v>
      </x:c>
      <x:c r="I685" s="34" t="str">
        <x:v>skill</x:v>
      </x:c>
      <x:c r="J685" s="34" t="str"/>
      <x:c r="K685" s="34" t="str"/>
      <x:c r="L685" s="34" t="n">
        <x:v>4</x:v>
      </x:c>
      <x:c r="M685" s="12" t="str">
        <x:v>Opens: True</x:v>
      </x:c>
      <x:c r="N685" s="12" t="str">
        <x:v>Heavy, Brutal, Harvest, Setup</x:v>
      </x:c>
      <x:c r="O685" s="12" t="str">
        <x:v>Commit to a heavy chop; +3 break damage but failed fragile harvests worsen by one step. Also gain 4 block.</x:v>
      </x:c>
      <x:c r="P685" s="12" t="str">
        <x:v>Commit to a heavy chop; +3 break damage but failed fragile harvests worsen by one step. Gain 4 block. If you deal no HP damage, gain +2 break damage.</x:v>
      </x:c>
      <x:c r="Q685" s="12" t="str"/>
      <x:c r="R685" s="12" t="str">
        <x:v>quirk: careful</x:v>
      </x:c>
      <x:c r="S685" s="12" t="str">
        <x:v>46e6200f9010</x:v>
      </x:c>
      <x:c r="T685" s="12" t="n">
        <x:f>COUNTIF($S$2:$S$757,S685)</x:f>
        <x:v>1</x:v>
      </x:c>
      <x:c r="U685" s="12" t="str">
        <x:f>IF(T685=1,"OK","DUPLICATE")</x:f>
        <x:v>OK</x:v>
      </x:c>
    </x:row>
    <x:row r="686" ht="26.399999618530273" hidden="0" customHeight="1">
      <x:c r="A686" s="12" t="str">
        <x:v>Switch Poleaxe</x:v>
      </x:c>
      <x:c r="B686" s="12" t="str">
        <x:v>SWITCH POLEAXE</x:v>
      </x:c>
      <x:c r="C686" s="12" t="str">
        <x:v>weapon</x:v>
      </x:c>
      <x:c r="D686" s="12" t="str">
        <x:v>axe</x:v>
      </x:c>
      <x:c r="E686" s="12" t="str">
        <x:v>mid</x:v>
      </x:c>
      <x:c r="F686" s="12" t="str">
        <x:v>uncommon</x:v>
      </x:c>
      <x:c r="G686" s="12" t="str">
        <x:v>Switch Poleaxe — Payoff</x:v>
      </x:c>
      <x:c r="H686" s="34" t="n">
        <x:v>3</x:v>
      </x:c>
      <x:c r="I686" s="34" t="str">
        <x:v>attack</x:v>
      </x:c>
      <x:c r="J686" s="34" t="n">
        <x:v>7</x:v>
      </x:c>
      <x:c r="K686" s="34" t="n">
        <x:v>5</x:v>
      </x:c>
      <x:c r="L686" s="34" t="str"/>
      <x:c r="M686" s="12" t="str">
        <x:v>Marked 2</x:v>
      </x:c>
      <x:c r="N686" s="12" t="str">
        <x:v>Heavy, Brutal, Harvest, Payoff, WeakPoint</x:v>
      </x:c>
      <x:c r="O686" s="12" t="str">
        <x:v>Deal 7 damage and 5 break damage. If this breaks a weak point, resolve Marked 2 and the careful rider.</x:v>
      </x:c>
      <x:c r="P686" s="12" t="str">
        <x:v>Deal 7 damage and 5 break damage. If the weak point breaks, apply Marked 2 and resolve: If you deal no HP damage, gain +2 break damage.</x:v>
      </x:c>
      <x:c r="Q686" s="12" t="str"/>
      <x:c r="R686" s="12" t="str">
        <x:v>quirk: careful | countsAsCounter False, firstCounterFree False</x:v>
      </x:c>
      <x:c r="S686" s="12" t="str">
        <x:v>4f4c654036ed</x:v>
      </x:c>
      <x:c r="T686" s="12" t="n">
        <x:f>COUNTIF($S$2:$S$757,S686)</x:f>
        <x:v>1</x:v>
      </x:c>
      <x:c r="U686" s="12" t="str">
        <x:f>IF(T686=1,"OK","DUPLICATE")</x:f>
        <x:v>OK</x:v>
      </x:c>
    </x:row>
    <x:row r="687" ht="39.599998474121094" hidden="0" customHeight="1">
      <x:c r="A687" s="12" t="str">
        <x:v>Blade &amp; Guard</x:v>
      </x:c>
      <x:c r="B687" s="12" t="str">
        <x:v>SWORD &amp; SHIELD</x:v>
      </x:c>
      <x:c r="C687" s="12" t="str">
        <x:v>weapon</x:v>
      </x:c>
      <x:c r="D687" s="12" t="str">
        <x:v>sword</x:v>
      </x:c>
      <x:c r="E687" s="12" t="str">
        <x:v>mid</x:v>
      </x:c>
      <x:c r="F687" s="12" t="str">
        <x:v>uncommon</x:v>
      </x:c>
      <x:c r="G687" s="12" t="str">
        <x:v>Blade &amp; Guard — Opening Cut</x:v>
      </x:c>
      <x:c r="H687" s="34" t="n">
        <x:v>1</x:v>
      </x:c>
      <x:c r="I687" s="34" t="str">
        <x:v>attack</x:v>
      </x:c>
      <x:c r="J687" s="34" t="n">
        <x:v>5</x:v>
      </x:c>
      <x:c r="K687" s="34" t="n">
        <x:v>1</x:v>
      </x:c>
      <x:c r="L687" s="34" t="str"/>
      <x:c r="M687" s="12" t="str">
        <x:v>Bleed 1 | Target: Spurkulese</x:v>
      </x:c>
      <x:c r="N687" s="12" t="str">
        <x:v>Precise, Marking, Counter, Attack</x:v>
      </x:c>
      <x:c r="O687" s="12" t="str">
        <x:v>Deal 5 damage. Apply Bleed 1 if the target has a Spurkulese weak point, otherwise gain Marked 1.</x:v>
      </x:c>
      <x:c r="P687" s="12" t="str">
        <x:v>Deal 5 damage with Blade &amp; Guard. Apply Bleed 1 against a matching Spurkulese weak point; otherwise apply Marked 1. The quarry targets this survivor next unless another card redirects it.</x:v>
      </x:c>
      <x:c r="Q687" s="12" t="str"/>
      <x:c r="R687" s="12" t="str">
        <x:v>quirk: bait</x:v>
      </x:c>
      <x:c r="S687" s="12" t="str">
        <x:v>477e6cd03400</x:v>
      </x:c>
      <x:c r="T687" s="12" t="n">
        <x:f>COUNTIF($S$2:$S$757,S687)</x:f>
        <x:v>1</x:v>
      </x:c>
      <x:c r="U687" s="12" t="str">
        <x:f>IF(T687=1,"OK","DUPLICATE")</x:f>
        <x:v>OK</x:v>
      </x:c>
    </x:row>
    <x:row r="688" ht="39.599998474121094" hidden="0" customHeight="1">
      <x:c r="A688" s="12" t="str">
        <x:v>Blade &amp; Guard</x:v>
      </x:c>
      <x:c r="B688" s="12" t="str">
        <x:v>SWORD &amp; SHIELD</x:v>
      </x:c>
      <x:c r="C688" s="12" t="str">
        <x:v>weapon</x:v>
      </x:c>
      <x:c r="D688" s="12" t="str">
        <x:v>sword</x:v>
      </x:c>
      <x:c r="E688" s="12" t="str">
        <x:v>mid</x:v>
      </x:c>
      <x:c r="F688" s="12" t="str">
        <x:v>uncommon</x:v>
      </x:c>
      <x:c r="G688" s="12" t="str">
        <x:v>Blade &amp; Guard — Technique</x:v>
      </x:c>
      <x:c r="H688" s="34" t="n">
        <x:v>2</x:v>
      </x:c>
      <x:c r="I688" s="34" t="str">
        <x:v>skill</x:v>
      </x:c>
      <x:c r="J688" s="34" t="str"/>
      <x:c r="K688" s="34" t="str"/>
      <x:c r="L688" s="34" t="n">
        <x:v>2</x:v>
      </x:c>
      <x:c r="M688" s="12" t="str">
        <x:v>Opens: True</x:v>
      </x:c>
      <x:c r="N688" s="12" t="str">
        <x:v>Precise, Marking, Counter, Setup</x:v>
      </x:c>
      <x:c r="O688" s="12" t="str">
        <x:v>Set a parry line; your next Counter with this equipment costs 0 if it is the first Counter this battle. Also gain 2 block.</x:v>
      </x:c>
      <x:c r="P688" s="12" t="str">
        <x:v>Set a parry line; your next Counter with this equipment costs 0 if it is the first Counter this battle. Gain 2 block. The quarry targets this survivor next unless another card redirects it.</x:v>
      </x:c>
      <x:c r="Q688" s="12" t="str">
        <x:v>YES</x:v>
      </x:c>
      <x:c r="R688" s="12" t="str">
        <x:v>quirk: bait</x:v>
      </x:c>
      <x:c r="S688" s="12" t="str">
        <x:v>ac4a69553759</x:v>
      </x:c>
      <x:c r="T688" s="12" t="n">
        <x:f>COUNTIF($S$2:$S$757,S688)</x:f>
        <x:v>1</x:v>
      </x:c>
      <x:c r="U688" s="12" t="str">
        <x:f>IF(T688=1,"OK","DUPLICATE")</x:f>
        <x:v>OK</x:v>
      </x:c>
    </x:row>
    <x:row r="689" ht="26.399999618530273" hidden="0" customHeight="1">
      <x:c r="A689" s="12" t="str">
        <x:v>Blade &amp; Guard</x:v>
      </x:c>
      <x:c r="B689" s="12" t="str">
        <x:v>SWORD &amp; SHIELD</x:v>
      </x:c>
      <x:c r="C689" s="12" t="str">
        <x:v>weapon</x:v>
      </x:c>
      <x:c r="D689" s="12" t="str">
        <x:v>sword</x:v>
      </x:c>
      <x:c r="E689" s="12" t="str">
        <x:v>mid</x:v>
      </x:c>
      <x:c r="F689" s="12" t="str">
        <x:v>uncommon</x:v>
      </x:c>
      <x:c r="G689" s="12" t="str">
        <x:v>Blade &amp; Guard — Payoff</x:v>
      </x:c>
      <x:c r="H689" s="34" t="n">
        <x:v>2</x:v>
      </x:c>
      <x:c r="I689" s="34" t="str">
        <x:v>reaction</x:v>
      </x:c>
      <x:c r="J689" s="34" t="n">
        <x:v>7</x:v>
      </x:c>
      <x:c r="K689" s="34" t="n">
        <x:v>2</x:v>
      </x:c>
      <x:c r="L689" s="34" t="str"/>
      <x:c r="M689" s="12" t="str">
        <x:v>Bleed 1</x:v>
      </x:c>
      <x:c r="N689" s="12" t="str">
        <x:v>Precise, Marking, Counter, Payoff, WeakPoint</x:v>
      </x:c>
      <x:c r="O689" s="12" t="str">
        <x:v>Deal 7 damage and 2 break damage. If this breaks a weak point, resolve Bleed 1 and the bait rider.</x:v>
      </x:c>
      <x:c r="P689" s="12" t="str">
        <x:v>Deal 7 damage and 2 break damage. If the weak point breaks, apply Bleed 1 and resolve: The quarry targets this survivor next unless another card redirects it.</x:v>
      </x:c>
      <x:c r="Q689" s="12" t="str">
        <x:v>YES</x:v>
      </x:c>
      <x:c r="R689" s="12" t="str">
        <x:v>quirk: bait | countsAsCounter True, firstCounterFree True</x:v>
      </x:c>
      <x:c r="S689" s="12" t="str">
        <x:v>759ad2ef6644</x:v>
      </x:c>
      <x:c r="T689" s="12" t="n">
        <x:f>COUNTIF($S$2:$S$757,S689)</x:f>
        <x:v>1</x:v>
      </x:c>
      <x:c r="U689" s="12" t="str">
        <x:f>IF(T689=1,"OK","DUPLICATE")</x:f>
        <x:v>OK</x:v>
      </x:c>
    </x:row>
    <x:row r="690" ht="39.599998474121094" hidden="0" customHeight="1">
      <x:c r="A690" s="12" t="str">
        <x:v>Tabard</x:v>
      </x:c>
      <x:c r="B690" s="12" t="str">
        <x:v>TABARD</x:v>
      </x:c>
      <x:c r="C690" s="12" t="str">
        <x:v>body</x:v>
      </x:c>
      <x:c r="D690" s="12" t="str">
        <x:v>banner</x:v>
      </x:c>
      <x:c r="E690" s="12" t="str">
        <x:v>early</x:v>
      </x:c>
      <x:c r="F690" s="12" t="str">
        <x:v>uncommon</x:v>
      </x:c>
      <x:c r="G690" s="12" t="str">
        <x:v>Tabard — Brace</x:v>
      </x:c>
      <x:c r="H690" s="34" t="n">
        <x:v>1</x:v>
      </x:c>
      <x:c r="I690" s="34" t="str">
        <x:v>skill</x:v>
      </x:c>
      <x:c r="J690" s="34" t="str"/>
      <x:c r="K690" s="34" t="str"/>
      <x:c r="L690" s="34" t="n">
        <x:v>4</x:v>
      </x:c>
      <x:c r="M690" s="12" t="str"/>
      <x:c r="N690" s="12" t="str">
        <x:v>Support, Party, Survival, Defensive</x:v>
      </x:c>
      <x:c r="O690" s="12" t="str">
        <x:v>Gain 4 block and Guarded 2. If hit before your next turn, reduce Burn or Panic by 1.</x:v>
      </x:c>
      <x:c r="P690" s="12" t="str">
        <x:v>Gain 4 block and Guarded 2. If the next monster hit lands before your next turn, reduce Burn or Panic by 1 after damage. If you already played an attack this turn, add +1 damage or +1 block.</x:v>
      </x:c>
      <x:c r="Q690" s="12" t="str"/>
      <x:c r="R690" s="12" t="str">
        <x:v>quirk: followUp</x:v>
      </x:c>
      <x:c r="S690" s="12" t="str">
        <x:v>8257340d3c03</x:v>
      </x:c>
      <x:c r="T690" s="12" t="n">
        <x:f>COUNTIF($S$2:$S$757,S690)</x:f>
        <x:v>1</x:v>
      </x:c>
      <x:c r="U690" s="12" t="str">
        <x:f>IF(T690=1,"OK","DUPLICATE")</x:f>
        <x:v>OK</x:v>
      </x:c>
    </x:row>
    <x:row r="691" ht="39.599998474121094" hidden="0" customHeight="1">
      <x:c r="A691" s="12" t="str">
        <x:v>Tabard</x:v>
      </x:c>
      <x:c r="B691" s="12" t="str">
        <x:v>TABARD</x:v>
      </x:c>
      <x:c r="C691" s="12" t="str">
        <x:v>body</x:v>
      </x:c>
      <x:c r="D691" s="12" t="str">
        <x:v>banner</x:v>
      </x:c>
      <x:c r="E691" s="12" t="str">
        <x:v>early</x:v>
      </x:c>
      <x:c r="F691" s="12" t="str">
        <x:v>uncommon</x:v>
      </x:c>
      <x:c r="G691" s="12" t="str">
        <x:v>Tabard — Fitted Plate</x:v>
      </x:c>
      <x:c r="H691" s="34" t="n">
        <x:v>1</x:v>
      </x:c>
      <x:c r="I691" s="34" t="str">
        <x:v>reaction</x:v>
      </x:c>
      <x:c r="J691" s="34" t="str"/>
      <x:c r="K691" s="34" t="str"/>
      <x:c r="L691" s="34" t="n">
        <x:v>6</x:v>
      </x:c>
      <x:c r="M691" s="12" t="str"/>
      <x:c r="N691" s="12" t="str">
        <x:v>Support, Party, Survival, Reaction</x:v>
      </x:c>
      <x:c r="O691" s="12" t="str">
        <x:v>After damage is previewed, prevent 6 damage. Then give the next ally Guarded 1.</x:v>
      </x:c>
      <x:c r="P691" s="12" t="str">
        <x:v>After incoming damage is previewed, prevent 6 damage with the body slot. Then the next ally gains Guarded 1. If you already played an attack this turn, add +1 damage or +1 block.</x:v>
      </x:c>
      <x:c r="Q691" s="12" t="str"/>
      <x:c r="R691" s="12" t="str">
        <x:v>quirk: followUp</x:v>
      </x:c>
      <x:c r="S691" s="12" t="str">
        <x:v>2beaa45fd479</x:v>
      </x:c>
      <x:c r="T691" s="12" t="n">
        <x:f>COUNTIF($S$2:$S$757,S691)</x:f>
        <x:v>1</x:v>
      </x:c>
      <x:c r="U691" s="12" t="str">
        <x:f>IF(T691=1,"OK","DUPLICATE")</x:f>
        <x:v>OK</x:v>
      </x:c>
    </x:row>
    <x:row r="692" ht="39.599998474121094" hidden="0" customHeight="1">
      <x:c r="A692" s="12" t="str">
        <x:v>Talon Knife</x:v>
      </x:c>
      <x:c r="B692" s="12" t="str">
        <x:v>TALON KNIFE</x:v>
      </x:c>
      <x:c r="C692" s="12" t="str">
        <x:v>weapon</x:v>
      </x:c>
      <x:c r="D692" s="12" t="str">
        <x:v>dagger</x:v>
      </x:c>
      <x:c r="E692" s="12" t="str">
        <x:v>apex</x:v>
      </x:c>
      <x:c r="F692" s="12" t="str">
        <x:v>uncommon</x:v>
      </x:c>
      <x:c r="G692" s="12" t="str">
        <x:v>Talon Knife — Opening Cut</x:v>
      </x:c>
      <x:c r="H692" s="34" t="n">
        <x:v>0</x:v>
      </x:c>
      <x:c r="I692" s="34" t="str">
        <x:v>attack</x:v>
      </x:c>
      <x:c r="J692" s="34" t="n">
        <x:v>5</x:v>
      </x:c>
      <x:c r="K692" s="34" t="n">
        <x:v>3</x:v>
      </x:c>
      <x:c r="L692" s="34" t="str"/>
      <x:c r="M692" s="12" t="str">
        <x:v>Burn 4 | Target: Dragon King</x:v>
      </x:c>
      <x:c r="N692" s="12" t="str">
        <x:v>Quick, Precise, Harvest, Attack</x:v>
      </x:c>
      <x:c r="O692" s="12" t="str">
        <x:v>Deal 5 damage. Apply Burn 4 if the target has a Dragon King weak point, otherwise gain Marked 1.</x:v>
      </x:c>
      <x:c r="P692" s="12" t="str">
        <x:v>Deal 5 damage with Talon Knife. Apply Burn 4 against a matching Dragon King weak point; otherwise apply Marked 1. If this would drop you to 0 HP, resolve the card first, then die if still at 0 HP.</x:v>
      </x:c>
      <x:c r="Q692" s="12" t="str"/>
      <x:c r="R692" s="12" t="str">
        <x:v>quirk: lastLight</x:v>
      </x:c>
      <x:c r="S692" s="12" t="str">
        <x:v>0c4873f211e7</x:v>
      </x:c>
      <x:c r="T692" s="12" t="n">
        <x:f>COUNTIF($S$2:$S$757,S692)</x:f>
        <x:v>1</x:v>
      </x:c>
      <x:c r="U692" s="12" t="str">
        <x:f>IF(T692=1,"OK","DUPLICATE")</x:f>
        <x:v>OK</x:v>
      </x:c>
    </x:row>
    <x:row r="693" ht="26.399999618530273" hidden="0" customHeight="1">
      <x:c r="A693" s="12" t="str">
        <x:v>Talon Knife</x:v>
      </x:c>
      <x:c r="B693" s="12" t="str">
        <x:v>TALON KNIFE</x:v>
      </x:c>
      <x:c r="C693" s="12" t="str">
        <x:v>weapon</x:v>
      </x:c>
      <x:c r="D693" s="12" t="str">
        <x:v>dagger</x:v>
      </x:c>
      <x:c r="E693" s="12" t="str">
        <x:v>apex</x:v>
      </x:c>
      <x:c r="F693" s="12" t="str">
        <x:v>uncommon</x:v>
      </x:c>
      <x:c r="G693" s="12" t="str">
        <x:v>Talon Knife — Technique</x:v>
      </x:c>
      <x:c r="H693" s="34" t="n">
        <x:v>2</x:v>
      </x:c>
      <x:c r="I693" s="34" t="str">
        <x:v>skill</x:v>
      </x:c>
      <x:c r="J693" s="34" t="str"/>
      <x:c r="K693" s="34" t="str"/>
      <x:c r="L693" s="34" t="n">
        <x:v>5</x:v>
      </x:c>
      <x:c r="M693" s="12" t="str">
        <x:v>Opens: True</x:v>
      </x:c>
      <x:c r="N693" s="12" t="str">
        <x:v>Quick, Precise, Harvest, Setup</x:v>
      </x:c>
      <x:c r="O693" s="12" t="str">
        <x:v>Expose a fragile weak point; next knife attack gains +2 break damage. Also gain 5 block.</x:v>
      </x:c>
      <x:c r="P693" s="12" t="str">
        <x:v>Expose a fragile weak point; next knife attack gains +2 break damage. Gain 5 block. If this would drop you to 0 HP, resolve the card first, then die if still at 0 HP.</x:v>
      </x:c>
      <x:c r="Q693" s="12" t="str"/>
      <x:c r="R693" s="12" t="str">
        <x:v>quirk: lastLight</x:v>
      </x:c>
      <x:c r="S693" s="12" t="str">
        <x:v>094159ede611</x:v>
      </x:c>
      <x:c r="T693" s="12" t="n">
        <x:f>COUNTIF($S$2:$S$757,S693)</x:f>
        <x:v>1</x:v>
      </x:c>
      <x:c r="U693" s="12" t="str">
        <x:f>IF(T693=1,"OK","DUPLICATE")</x:f>
        <x:v>OK</x:v>
      </x:c>
    </x:row>
    <x:row r="694" ht="26.399999618530273" hidden="0" customHeight="1">
      <x:c r="A694" s="12" t="str">
        <x:v>Talon Knife</x:v>
      </x:c>
      <x:c r="B694" s="12" t="str">
        <x:v>TALON KNIFE</x:v>
      </x:c>
      <x:c r="C694" s="12" t="str">
        <x:v>weapon</x:v>
      </x:c>
      <x:c r="D694" s="12" t="str">
        <x:v>dagger</x:v>
      </x:c>
      <x:c r="E694" s="12" t="str">
        <x:v>apex</x:v>
      </x:c>
      <x:c r="F694" s="12" t="str">
        <x:v>uncommon</x:v>
      </x:c>
      <x:c r="G694" s="12" t="str">
        <x:v>Talon Knife — Payoff</x:v>
      </x:c>
      <x:c r="H694" s="34" t="n">
        <x:v>2</x:v>
      </x:c>
      <x:c r="I694" s="34" t="str">
        <x:v>attack</x:v>
      </x:c>
      <x:c r="J694" s="34" t="n">
        <x:v>8</x:v>
      </x:c>
      <x:c r="K694" s="34" t="n">
        <x:v>4</x:v>
      </x:c>
      <x:c r="L694" s="34" t="str"/>
      <x:c r="M694" s="12" t="str">
        <x:v>Burn 3</x:v>
      </x:c>
      <x:c r="N694" s="12" t="str">
        <x:v>Quick, Precise, Harvest, Payoff, WeakPoint</x:v>
      </x:c>
      <x:c r="O694" s="12" t="str">
        <x:v>Deal 8 damage and 4 break damage. If this breaks a weak point, resolve Burn 3 and the lastLight rider.</x:v>
      </x:c>
      <x:c r="P694" s="12" t="str">
        <x:v>Deal 8 damage and 4 break damage. If the weak point breaks, apply Burn 3 and resolve: If this would drop you to 0 HP, resolve the card first, then die if still at 0 HP.</x:v>
      </x:c>
      <x:c r="Q694" s="12" t="str"/>
      <x:c r="R694" s="12" t="str">
        <x:v>quirk: lastLight | countsAsCounter False, firstCounterFree False</x:v>
      </x:c>
      <x:c r="S694" s="12" t="str">
        <x:v>bdcf672fb1ee</x:v>
      </x:c>
      <x:c r="T694" s="12" t="n">
        <x:f>COUNTIF($S$2:$S$757,S694)</x:f>
        <x:v>1</x:v>
      </x:c>
      <x:c r="U694" s="12" t="str">
        <x:f>IF(T694=1,"OK","DUPLICATE")</x:f>
        <x:v>OK</x:v>
      </x:c>
    </x:row>
    <x:row r="695" ht="39.599998474121094" hidden="0" customHeight="1">
      <x:c r="A695" s="12" t="str">
        <x:v>Beetle Bomb</x:v>
      </x:c>
      <x:c r="B695" s="12" t="str">
        <x:v>THE BEATLE BOMB</x:v>
      </x:c>
      <x:c r="C695" s="12" t="str">
        <x:v>tool</x:v>
      </x:c>
      <x:c r="D695" s="12" t="str">
        <x:v>consumable</x:v>
      </x:c>
      <x:c r="E695" s="12" t="str">
        <x:v>mid</x:v>
      </x:c>
      <x:c r="F695" s="12" t="str">
        <x:v>uncommon</x:v>
      </x:c>
      <x:c r="G695" s="12" t="str">
        <x:v>Beetle Bomb — Use</x:v>
      </x:c>
      <x:c r="H695" s="34" t="n">
        <x:v>0</x:v>
      </x:c>
      <x:c r="I695" s="34" t="str">
        <x:v>skill</x:v>
      </x:c>
      <x:c r="J695" s="34" t="str"/>
      <x:c r="K695" s="34" t="str"/>
      <x:c r="L695" s="34" t="str"/>
      <x:c r="M695" s="12" t="str">
        <x:v>Shock 1</x:v>
      </x:c>
      <x:c r="N695" s="12" t="str">
        <x:v>Tool, Survival, Retreat</x:v>
      </x:c>
      <x:c r="O695" s="12" t="str">
        <x:v>Gain +2 to the next harvest, retreat, or weak-point test. If it fails, apply Shock 1 to the quarry or clear it from a survivor.</x:v>
      </x:c>
      <x:c r="P695" s="12" t="str">
        <x:v>Gain +2 to the next harvest, retreat, or weak-point test linked to Wet Resin Crafter. On failure, either apply Shock 1 to the quarry or clear that status from a survivor. If used on a hunt node, also mark one gathered resource as confirmed.</x:v>
      </x:c>
      <x:c r="Q695" s="12" t="str"/>
      <x:c r="R695" s="12" t="str">
        <x:v>quirk: retreat</x:v>
      </x:c>
      <x:c r="S695" s="12" t="str">
        <x:v>ab69b81b2740</x:v>
      </x:c>
      <x:c r="T695" s="12" t="n">
        <x:f>COUNTIF($S$2:$S$757,S695)</x:f>
        <x:v>1</x:v>
      </x:c>
      <x:c r="U695" s="12" t="str">
        <x:f>IF(T695=1,"OK","DUPLICATE")</x:f>
        <x:v>OK</x:v>
      </x:c>
    </x:row>
    <x:row r="696" ht="52.79999923706055" hidden="0" customHeight="1">
      <x:c r="A696" s="12" t="str">
        <x:v>Beetle Bomb</x:v>
      </x:c>
      <x:c r="B696" s="12" t="str">
        <x:v>THE BEATLE BOMB</x:v>
      </x:c>
      <x:c r="C696" s="12" t="str">
        <x:v>tool</x:v>
      </x:c>
      <x:c r="D696" s="12" t="str">
        <x:v>consumable</x:v>
      </x:c>
      <x:c r="E696" s="12" t="str">
        <x:v>mid</x:v>
      </x:c>
      <x:c r="F696" s="12" t="str">
        <x:v>uncommon</x:v>
      </x:c>
      <x:c r="G696" s="12" t="str">
        <x:v>Beetle Bomb — Contingency</x:v>
      </x:c>
      <x:c r="H696" s="34" t="n">
        <x:v>1</x:v>
      </x:c>
      <x:c r="I696" s="34" t="str">
        <x:v>reaction</x:v>
      </x:c>
      <x:c r="J696" s="34" t="str"/>
      <x:c r="K696" s="34" t="str"/>
      <x:c r="L696" s="34" t="str"/>
      <x:c r="M696" s="12" t="str"/>
      <x:c r="N696" s="12" t="str">
        <x:v>Tool, Survival, Retreat</x:v>
      </x:c>
      <x:c r="O696" s="12" t="str">
        <x:v>When a hunt or monster consequence is previewed, reduce it by 2; on retreat, preserve 1 gathered resource; You may take Panic 1 to increase one listed value by 1.</x:v>
      </x:c>
      <x:c r="P696" s="12" t="str">
        <x:v>When a hunt event, retreat roll, or monster consequence is previewed, reduce the penalty by 2. If retreating, preserve 1 gathered resource. If used on a hunt node, also mark one gathered resource as confirmed. You may take Panic 1 to increase one listed value by 1.</x:v>
      </x:c>
      <x:c r="Q696" s="12" t="str"/>
      <x:c r="R696" s="12" t="str">
        <x:v>quirk: retreat+bloodPrice | visibleUnique:bloodPrice</x:v>
      </x:c>
      <x:c r="S696" s="12" t="str">
        <x:v>d17f26c4ac57</x:v>
      </x:c>
      <x:c r="T696" s="12" t="n">
        <x:f>COUNTIF($S$2:$S$757,S696)</x:f>
        <x:v>1</x:v>
      </x:c>
      <x:c r="U696" s="12" t="str">
        <x:f>IF(T696=1,"OK","DUPLICATE")</x:f>
        <x:v>OK</x:v>
      </x:c>
    </x:row>
    <x:row r="697" ht="39.599998474121094" hidden="0" customHeight="1">
      <x:c r="A697" s="12" t="str">
        <x:v>The Three</x:v>
      </x:c>
      <x:c r="B697" s="12" t="str">
        <x:v>THE THREE</x:v>
      </x:c>
      <x:c r="C697" s="12" t="str">
        <x:v>arms</x:v>
      </x:c>
      <x:c r="D697" s="12" t="str">
        <x:v>tool</x:v>
      </x:c>
      <x:c r="E697" s="12" t="str">
        <x:v>mid</x:v>
      </x:c>
      <x:c r="F697" s="12" t="str">
        <x:v>uncommon</x:v>
      </x:c>
      <x:c r="G697" s="12" t="str">
        <x:v>The Three — Use</x:v>
      </x:c>
      <x:c r="H697" s="34" t="n">
        <x:v>1</x:v>
      </x:c>
      <x:c r="I697" s="34" t="str">
        <x:v>skill</x:v>
      </x:c>
      <x:c r="J697" s="34" t="str"/>
      <x:c r="K697" s="34" t="str"/>
      <x:c r="L697" s="34" t="str"/>
      <x:c r="M697" s="12" t="str">
        <x:v>Shock 2</x:v>
      </x:c>
      <x:c r="N697" s="12" t="str">
        <x:v>Tool, Harvest, Retreat</x:v>
      </x:c>
      <x:c r="O697" s="12" t="str">
        <x:v>Gain +3 to the next harvest, retreat, or weak-point test. If it fails, apply Shock 2 to the quarry or clear it from a survivor.</x:v>
      </x:c>
      <x:c r="P697" s="12" t="str">
        <x:v>Gain +3 to the next harvest, retreat, or weak-point test linked to Cotton Mill. On failure, either apply Shock 2 to the quarry or clear that status from a survivor. If a tell is Open, add +2 to the listed damage or block value.</x:v>
      </x:c>
      <x:c r="Q697" s="12" t="str"/>
      <x:c r="R697" s="12" t="str">
        <x:v>quirk: openTell</x:v>
      </x:c>
      <x:c r="S697" s="12" t="str">
        <x:v>f185c6e72410</x:v>
      </x:c>
      <x:c r="T697" s="12" t="n">
        <x:f>COUNTIF($S$2:$S$757,S697)</x:f>
        <x:v>1</x:v>
      </x:c>
      <x:c r="U697" s="12" t="str">
        <x:f>IF(T697=1,"OK","DUPLICATE")</x:f>
        <x:v>OK</x:v>
      </x:c>
    </x:row>
    <x:row r="698" ht="39.599998474121094" hidden="0" customHeight="1">
      <x:c r="A698" s="12" t="str">
        <x:v>The Three</x:v>
      </x:c>
      <x:c r="B698" s="12" t="str">
        <x:v>THE THREE</x:v>
      </x:c>
      <x:c r="C698" s="12" t="str">
        <x:v>arms</x:v>
      </x:c>
      <x:c r="D698" s="12" t="str">
        <x:v>tool</x:v>
      </x:c>
      <x:c r="E698" s="12" t="str">
        <x:v>mid</x:v>
      </x:c>
      <x:c r="F698" s="12" t="str">
        <x:v>uncommon</x:v>
      </x:c>
      <x:c r="G698" s="12" t="str">
        <x:v>The Three — Contingency</x:v>
      </x:c>
      <x:c r="H698" s="34" t="n">
        <x:v>1</x:v>
      </x:c>
      <x:c r="I698" s="34" t="str">
        <x:v>reaction</x:v>
      </x:c>
      <x:c r="J698" s="34" t="str"/>
      <x:c r="K698" s="34" t="str"/>
      <x:c r="L698" s="34" t="str"/>
      <x:c r="M698" s="12" t="str"/>
      <x:c r="N698" s="12" t="str">
        <x:v>Tool, Harvest, Retreat</x:v>
      </x:c>
      <x:c r="O698" s="12" t="str">
        <x:v>When a hunt or monster consequence is previewed, reduce it by 4; on retreat, preserve 2 gathered resource.</x:v>
      </x:c>
      <x:c r="P698" s="12" t="str">
        <x:v>When a hunt event, retreat roll, or monster consequence is previewed, reduce the penalty by 4. If retreating, preserve 2 gathered resource. If a tell is Open, add +2 to the listed damage or block value.</x:v>
      </x:c>
      <x:c r="Q698" s="12" t="str"/>
      <x:c r="R698" s="12" t="str">
        <x:v>quirk: openTell</x:v>
      </x:c>
      <x:c r="S698" s="12" t="str">
        <x:v>64c7713b7a1a</x:v>
      </x:c>
      <x:c r="T698" s="12" t="n">
        <x:f>COUNTIF($S$2:$S$757,S698)</x:f>
        <x:v>1</x:v>
      </x:c>
      <x:c r="U698" s="12" t="str">
        <x:f>IF(T698=1,"OK","DUPLICATE")</x:f>
        <x:v>OK</x:v>
      </x:c>
    </x:row>
    <x:row r="699" ht="26.399999618530273" hidden="0" customHeight="1">
      <x:c r="A699" s="12" t="str">
        <x:v>Thorn</x:v>
      </x:c>
      <x:c r="B699" s="12" t="str">
        <x:v>THORN</x:v>
      </x:c>
      <x:c r="C699" s="12" t="str">
        <x:v>tool</x:v>
      </x:c>
      <x:c r="D699" s="12" t="str">
        <x:v>instrument</x:v>
      </x:c>
      <x:c r="E699" s="12" t="str">
        <x:v>mid</x:v>
      </x:c>
      <x:c r="F699" s="12" t="str">
        <x:v>uncommon</x:v>
      </x:c>
      <x:c r="G699" s="12" t="str">
        <x:v>Thorn — Resonance</x:v>
      </x:c>
      <x:c r="H699" s="34" t="n">
        <x:v>1</x:v>
      </x:c>
      <x:c r="I699" s="34" t="str">
        <x:v>support</x:v>
      </x:c>
      <x:c r="J699" s="34" t="str"/>
      <x:c r="K699" s="34" t="str"/>
      <x:c r="L699" s="34" t="n">
        <x:v>5</x:v>
      </x:c>
      <x:c r="M699" s="12" t="str"/>
      <x:c r="N699" s="12" t="str">
        <x:v>Support, Party, Panic</x:v>
      </x:c>
      <x:c r="O699" s="12" t="str">
        <x:v>Chosen ally gains 5 block and Prepared 4. Gain Panic 1.</x:v>
      </x:c>
      <x:c r="P699" s="12" t="str">
        <x:v>Chosen ally gains 5 block and Prepared 4. If the phase is wrong for this item, also gain Panic 1. After use, Exhaust this equipment until the next monster turn.</x:v>
      </x:c>
      <x:c r="Q699" s="12" t="str"/>
      <x:c r="R699" s="12" t="str">
        <x:v>quirk: exhaust</x:v>
      </x:c>
      <x:c r="S699" s="12" t="str">
        <x:v>2e81d47d3819</x:v>
      </x:c>
      <x:c r="T699" s="12" t="n">
        <x:f>COUNTIF($S$2:$S$757,S699)</x:f>
        <x:v>1</x:v>
      </x:c>
      <x:c r="U699" s="12" t="str">
        <x:f>IF(T699=1,"OK","DUPLICATE")</x:f>
        <x:v>OK</x:v>
      </x:c>
    </x:row>
    <x:row r="700" ht="39.599998474121094" hidden="0" customHeight="1">
      <x:c r="A700" s="12" t="str">
        <x:v>Thorn</x:v>
      </x:c>
      <x:c r="B700" s="12" t="str">
        <x:v>THORN</x:v>
      </x:c>
      <x:c r="C700" s="12" t="str">
        <x:v>tool</x:v>
      </x:c>
      <x:c r="D700" s="12" t="str">
        <x:v>instrument</x:v>
      </x:c>
      <x:c r="E700" s="12" t="str">
        <x:v>mid</x:v>
      </x:c>
      <x:c r="F700" s="12" t="str">
        <x:v>uncommon</x:v>
      </x:c>
      <x:c r="G700" s="12" t="str">
        <x:v>Thorn — Echo</x:v>
      </x:c>
      <x:c r="H700" s="34" t="n">
        <x:v>1</x:v>
      </x:c>
      <x:c r="I700" s="34" t="str">
        <x:v>reaction</x:v>
      </x:c>
      <x:c r="J700" s="34" t="str"/>
      <x:c r="K700" s="34" t="str"/>
      <x:c r="L700" s="34" t="str"/>
      <x:c r="M700" s="12" t="str"/>
      <x:c r="N700" s="12" t="str">
        <x:v>Support, Party, Panic</x:v>
      </x:c>
      <x:c r="O700" s="12" t="str">
        <x:v>After an ally breaks a weak point, give the next ally Guarded 2 or clear Panic 4.</x:v>
      </x:c>
      <x:c r="P700" s="12" t="str">
        <x:v>After an ally breaks a weak point or survives a hunt event, choose: next ally gains Guarded 2, or clear Panic 4. After use, Exhaust this equipment until the next monster turn.</x:v>
      </x:c>
      <x:c r="Q700" s="12" t="str"/>
      <x:c r="R700" s="12" t="str">
        <x:v>quirk: exhaust</x:v>
      </x:c>
      <x:c r="S700" s="12" t="str">
        <x:v>ae78628816d8</x:v>
      </x:c>
      <x:c r="T700" s="12" t="n">
        <x:f>COUNTIF($S$2:$S$757,S700)</x:f>
        <x:v>1</x:v>
      </x:c>
      <x:c r="U700" s="12" t="str">
        <x:f>IF(T700=1,"OK","DUPLICATE")</x:f>
        <x:v>OK</x:v>
      </x:c>
    </x:row>
    <x:row r="701" ht="39.599998474121094" hidden="0" customHeight="1">
      <x:c r="A701" s="12" t="str">
        <x:v>Throwing Knife</x:v>
      </x:c>
      <x:c r="B701" s="12" t="str">
        <x:v>THROWING KNIFE</x:v>
      </x:c>
      <x:c r="C701" s="12" t="str">
        <x:v>weapon</x:v>
      </x:c>
      <x:c r="D701" s="12" t="str">
        <x:v>bow</x:v>
      </x:c>
      <x:c r="E701" s="12" t="str">
        <x:v>mid</x:v>
      </x:c>
      <x:c r="F701" s="12" t="str">
        <x:v>uncommon</x:v>
      </x:c>
      <x:c r="G701" s="12" t="str">
        <x:v>Throwing Knife — Opening Strike</x:v>
      </x:c>
      <x:c r="H701" s="34" t="n">
        <x:v>1</x:v>
      </x:c>
      <x:c r="I701" s="34" t="str">
        <x:v>attack</x:v>
      </x:c>
      <x:c r="J701" s="34" t="n">
        <x:v>4</x:v>
      </x:c>
      <x:c r="K701" s="34" t="n">
        <x:v>1</x:v>
      </x:c>
      <x:c r="L701" s="34" t="str"/>
      <x:c r="M701" s="12" t="str">
        <x:v>Snared 1 | Target: Spidicules</x:v>
      </x:c>
      <x:c r="N701" s="12" t="str">
        <x:v>Ranged, Marking, Precise, Attack</x:v>
      </x:c>
      <x:c r="O701" s="12" t="str">
        <x:v>Deal 4 damage. Apply Snared 1 if the target has a Spidicules weak point, otherwise gain Marked 1.</x:v>
      </x:c>
      <x:c r="P701" s="12" t="str">
        <x:v>Deal 4 damage with Throwing Knife. Apply Snared 1 against a matching Spidicules weak point; otherwise apply Marked 1. If the quarry is Marked, draw 1 then discard 1.</x:v>
      </x:c>
      <x:c r="Q701" s="12" t="str"/>
      <x:c r="R701" s="12" t="str">
        <x:v>quirk: marked</x:v>
      </x:c>
      <x:c r="S701" s="12" t="str">
        <x:v>f0b3bd4ce293</x:v>
      </x:c>
      <x:c r="T701" s="12" t="n">
        <x:f>COUNTIF($S$2:$S$757,S701)</x:f>
        <x:v>1</x:v>
      </x:c>
      <x:c r="U701" s="12" t="str">
        <x:f>IF(T701=1,"OK","DUPLICATE")</x:f>
        <x:v>OK</x:v>
      </x:c>
    </x:row>
    <x:row r="702" ht="26.399999618530273" hidden="0" customHeight="1">
      <x:c r="A702" s="12" t="str">
        <x:v>Throwing Knife</x:v>
      </x:c>
      <x:c r="B702" s="12" t="str">
        <x:v>THROWING KNIFE</x:v>
      </x:c>
      <x:c r="C702" s="12" t="str">
        <x:v>weapon</x:v>
      </x:c>
      <x:c r="D702" s="12" t="str">
        <x:v>bow</x:v>
      </x:c>
      <x:c r="E702" s="12" t="str">
        <x:v>mid</x:v>
      </x:c>
      <x:c r="F702" s="12" t="str">
        <x:v>uncommon</x:v>
      </x:c>
      <x:c r="G702" s="12" t="str">
        <x:v>Throwing Knife — Technique</x:v>
      </x:c>
      <x:c r="H702" s="34" t="n">
        <x:v>2</x:v>
      </x:c>
      <x:c r="I702" s="34" t="str">
        <x:v>skill</x:v>
      </x:c>
      <x:c r="J702" s="34" t="str"/>
      <x:c r="K702" s="34" t="str"/>
      <x:c r="L702" s="34" t="n">
        <x:v>3</x:v>
      </x:c>
      <x:c r="M702" s="12" t="str">
        <x:v>Opens: True</x:v>
      </x:c>
      <x:c r="N702" s="12" t="str">
        <x:v>Ranged, Marking, Precise, Setup</x:v>
      </x:c>
      <x:c r="O702" s="12" t="str">
        <x:v>Mark a wing, eye or distant weak point; ranged attacks ignore Guarded 1. Also gain 3 block.</x:v>
      </x:c>
      <x:c r="P702" s="12" t="str">
        <x:v>Mark a wing, eye or distant weak point; ranged attacks ignore Guarded 1. gain 3 block. If the quarry is Marked, draw 1 then discard 1.</x:v>
      </x:c>
      <x:c r="Q702" s="12" t="str"/>
      <x:c r="R702" s="12" t="str">
        <x:v>quirk: marked</x:v>
      </x:c>
      <x:c r="S702" s="12" t="str">
        <x:v>bb65f6b55ca9</x:v>
      </x:c>
      <x:c r="T702" s="12" t="n">
        <x:f>COUNTIF($S$2:$S$757,S702)</x:f>
        <x:v>1</x:v>
      </x:c>
      <x:c r="U702" s="12" t="str">
        <x:f>IF(T702=1,"OK","DUPLICATE")</x:f>
        <x:v>OK</x:v>
      </x:c>
    </x:row>
    <x:row r="703" ht="26.399999618530273" hidden="0" customHeight="1">
      <x:c r="A703" s="12" t="str">
        <x:v>Throwing Knife</x:v>
      </x:c>
      <x:c r="B703" s="12" t="str">
        <x:v>THROWING KNIFE</x:v>
      </x:c>
      <x:c r="C703" s="12" t="str">
        <x:v>weapon</x:v>
      </x:c>
      <x:c r="D703" s="12" t="str">
        <x:v>bow</x:v>
      </x:c>
      <x:c r="E703" s="12" t="str">
        <x:v>mid</x:v>
      </x:c>
      <x:c r="F703" s="12" t="str">
        <x:v>uncommon</x:v>
      </x:c>
      <x:c r="G703" s="12" t="str">
        <x:v>Throwing Knife — Payoff</x:v>
      </x:c>
      <x:c r="H703" s="34" t="n">
        <x:v>2</x:v>
      </x:c>
      <x:c r="I703" s="34" t="str">
        <x:v>attack</x:v>
      </x:c>
      <x:c r="J703" s="34" t="n">
        <x:v>8</x:v>
      </x:c>
      <x:c r="K703" s="34" t="n">
        <x:v>2</x:v>
      </x:c>
      <x:c r="L703" s="34" t="str"/>
      <x:c r="M703" s="12" t="str">
        <x:v>Snared 1</x:v>
      </x:c>
      <x:c r="N703" s="12" t="str">
        <x:v>Ranged, Marking, Precise, Payoff, WeakPoint</x:v>
      </x:c>
      <x:c r="O703" s="12" t="str">
        <x:v>Deal 8 damage and 2 break damage. If this breaks a weak point, resolve Snared 1 and the marked rider.</x:v>
      </x:c>
      <x:c r="P703" s="12" t="str">
        <x:v>Deal 8 damage and 2 break damage. If the weak point breaks, apply Snared 1 and resolve: If the quarry is Marked, draw 1 then discard 1.</x:v>
      </x:c>
      <x:c r="Q703" s="12" t="str"/>
      <x:c r="R703" s="12" t="str">
        <x:v>quirk: marked | countsAsCounter False, firstCounterFree False</x:v>
      </x:c>
      <x:c r="S703" s="12" t="str">
        <x:v>1a20ea707cbf</x:v>
      </x:c>
      <x:c r="T703" s="12" t="n">
        <x:f>COUNTIF($S$2:$S$757,S703)</x:f>
        <x:v>1</x:v>
      </x:c>
      <x:c r="U703" s="12" t="str">
        <x:f>IF(T703=1,"OK","DUPLICATE")</x:f>
        <x:v>OK</x:v>
      </x:c>
    </x:row>
    <x:row r="704" ht="39.599998474121094" hidden="0" customHeight="1">
      <x:c r="A704" s="12" t="str">
        <x:v>Trom Bone (Hunt Phase)</x:v>
      </x:c>
      <x:c r="B704" s="12" t="str">
        <x:v>TROM BONE (HUNT PHASE)</x:v>
      </x:c>
      <x:c r="C704" s="12" t="str">
        <x:v>tool</x:v>
      </x:c>
      <x:c r="D704" s="12" t="str">
        <x:v>tool</x:v>
      </x:c>
      <x:c r="E704" s="12" t="str">
        <x:v>early</x:v>
      </x:c>
      <x:c r="F704" s="12" t="str">
        <x:v>uncommon</x:v>
      </x:c>
      <x:c r="G704" s="12" t="str">
        <x:v>Trom Bone (Hunt Phase) — Use</x:v>
      </x:c>
      <x:c r="H704" s="34" t="n">
        <x:v>0</x:v>
      </x:c>
      <x:c r="I704" s="34" t="str">
        <x:v>skill</x:v>
      </x:c>
      <x:c r="J704" s="34" t="str"/>
      <x:c r="K704" s="34" t="str"/>
      <x:c r="L704" s="34" t="str"/>
      <x:c r="M704" s="12" t="str">
        <x:v>Exposed 1</x:v>
      </x:c>
      <x:c r="N704" s="12" t="str">
        <x:v>Tool, Harvest, Retreat</x:v>
      </x:c>
      <x:c r="O704" s="12" t="str">
        <x:v>Gain +2 to the next harvest, retreat, or weak-point test. If it fails, apply Exposed 1 to the quarry or clear it from a survivor.</x:v>
      </x:c>
      <x:c r="P704" s="12" t="str">
        <x:v>Gain +2 to the next harvest, retreat, or weak-point test linked to Hunting Hall. On failure, either apply Exposed 1 to the quarry or clear that status from a survivor. If this is the only card you play this turn, gain +2 block.</x:v>
      </x:c>
      <x:c r="Q704" s="12" t="str"/>
      <x:c r="R704" s="12" t="str">
        <x:v>quirk: stance</x:v>
      </x:c>
      <x:c r="S704" s="12" t="str">
        <x:v>9056a21ee64c</x:v>
      </x:c>
      <x:c r="T704" s="12" t="n">
        <x:f>COUNTIF($S$2:$S$757,S704)</x:f>
        <x:v>1</x:v>
      </x:c>
      <x:c r="U704" s="12" t="str">
        <x:f>IF(T704=1,"OK","DUPLICATE")</x:f>
        <x:v>OK</x:v>
      </x:c>
    </x:row>
    <x:row r="705" ht="39.599998474121094" hidden="0" customHeight="1">
      <x:c r="A705" s="12" t="str">
        <x:v>Trom Bone (Hunt Phase)</x:v>
      </x:c>
      <x:c r="B705" s="12" t="str">
        <x:v>TROM BONE (HUNT PHASE)</x:v>
      </x:c>
      <x:c r="C705" s="12" t="str">
        <x:v>tool</x:v>
      </x:c>
      <x:c r="D705" s="12" t="str">
        <x:v>tool</x:v>
      </x:c>
      <x:c r="E705" s="12" t="str">
        <x:v>early</x:v>
      </x:c>
      <x:c r="F705" s="12" t="str">
        <x:v>uncommon</x:v>
      </x:c>
      <x:c r="G705" s="12" t="str">
        <x:v>Trom Bone (Hunt Phase) — Contingency</x:v>
      </x:c>
      <x:c r="H705" s="34" t="n">
        <x:v>0</x:v>
      </x:c>
      <x:c r="I705" s="34" t="str">
        <x:v>reaction</x:v>
      </x:c>
      <x:c r="J705" s="34" t="str"/>
      <x:c r="K705" s="34" t="str"/>
      <x:c r="L705" s="34" t="str"/>
      <x:c r="M705" s="12" t="str"/>
      <x:c r="N705" s="12" t="str">
        <x:v>Tool, Harvest, Retreat</x:v>
      </x:c>
      <x:c r="O705" s="12" t="str">
        <x:v>When a hunt or monster consequence is previewed, reduce it by 2; on retreat, preserve 1 gathered resource; You may take Panic 1 to increase one listed value by 1.</x:v>
      </x:c>
      <x:c r="P705" s="12" t="str">
        <x:v>When a hunt event, retreat roll, or monster consequence is previewed, reduce the penalty by 2. If retreating, preserve 1 gathered resource. If this is the only card you play this turn, gain +2 block. You may take Panic 1 to increase one listed value by 1.</x:v>
      </x:c>
      <x:c r="Q705" s="12" t="str"/>
      <x:c r="R705" s="12" t="str">
        <x:v>quirk: stance+bloodPrice | visibleUnique:bloodPrice</x:v>
      </x:c>
      <x:c r="S705" s="12" t="str">
        <x:v>a2b144bd648b</x:v>
      </x:c>
      <x:c r="T705" s="12" t="n">
        <x:f>COUNTIF($S$2:$S$757,S705)</x:f>
        <x:v>1</x:v>
      </x:c>
      <x:c r="U705" s="12" t="str">
        <x:f>IF(T705=1,"OK","DUPLICATE")</x:f>
        <x:v>OK</x:v>
      </x:c>
    </x:row>
    <x:row r="706" ht="39.599998474121094" hidden="0" customHeight="1">
      <x:c r="A706" s="12" t="str">
        <x:v>Trom Bone (Showdown Phase)</x:v>
      </x:c>
      <x:c r="B706" s="12" t="str">
        <x:v>TROM BONE (SHOWDOWN PHASE)</x:v>
      </x:c>
      <x:c r="C706" s="12" t="str">
        <x:v>tool</x:v>
      </x:c>
      <x:c r="D706" s="12" t="str">
        <x:v>tool</x:v>
      </x:c>
      <x:c r="E706" s="12" t="str">
        <x:v>early</x:v>
      </x:c>
      <x:c r="F706" s="12" t="str">
        <x:v>uncommon</x:v>
      </x:c>
      <x:c r="G706" s="12" t="str">
        <x:v>Trom Bone (Showdown Phase) — Use</x:v>
      </x:c>
      <x:c r="H706" s="34" t="n">
        <x:v>1</x:v>
      </x:c>
      <x:c r="I706" s="34" t="str">
        <x:v>skill</x:v>
      </x:c>
      <x:c r="J706" s="34" t="str"/>
      <x:c r="K706" s="34" t="str"/>
      <x:c r="L706" s="34" t="str"/>
      <x:c r="M706" s="12" t="str">
        <x:v>Marked 2</x:v>
      </x:c>
      <x:c r="N706" s="12" t="str">
        <x:v>Tool, Harvest, Retreat</x:v>
      </x:c>
      <x:c r="O706" s="12" t="str">
        <x:v>Gain +3 to the next harvest, retreat, or weak-point test. If it fails, apply Marked 2 to the quarry or clear it from a survivor.</x:v>
      </x:c>
      <x:c r="P706" s="12" t="str">
        <x:v>Gain +3 to the next harvest, retreat, or weak-point test linked to Hunting Hall. On failure, either apply Marked 2 to the quarry or clear that status from a survivor. If played after blocking, your next Counter gains +2 damage.</x:v>
      </x:c>
      <x:c r="Q706" s="12" t="str"/>
      <x:c r="R706" s="12" t="str">
        <x:v>quirk: counterReady</x:v>
      </x:c>
      <x:c r="S706" s="12" t="str">
        <x:v>a2f9a7b210c5</x:v>
      </x:c>
      <x:c r="T706" s="12" t="n">
        <x:f>COUNTIF($S$2:$S$757,S706)</x:f>
        <x:v>1</x:v>
      </x:c>
      <x:c r="U706" s="12" t="str">
        <x:f>IF(T706=1,"OK","DUPLICATE")</x:f>
        <x:v>OK</x:v>
      </x:c>
    </x:row>
    <x:row r="707" ht="39.599998474121094" hidden="0" customHeight="1">
      <x:c r="A707" s="12" t="str">
        <x:v>Trom Bone (Showdown Phase)</x:v>
      </x:c>
      <x:c r="B707" s="12" t="str">
        <x:v>TROM BONE (SHOWDOWN PHASE)</x:v>
      </x:c>
      <x:c r="C707" s="12" t="str">
        <x:v>tool</x:v>
      </x:c>
      <x:c r="D707" s="12" t="str">
        <x:v>tool</x:v>
      </x:c>
      <x:c r="E707" s="12" t="str">
        <x:v>early</x:v>
      </x:c>
      <x:c r="F707" s="12" t="str">
        <x:v>uncommon</x:v>
      </x:c>
      <x:c r="G707" s="12" t="str">
        <x:v>Trom Bone (Showdown Phase) — Contingency</x:v>
      </x:c>
      <x:c r="H707" s="34" t="n">
        <x:v>1</x:v>
      </x:c>
      <x:c r="I707" s="34" t="str">
        <x:v>reaction</x:v>
      </x:c>
      <x:c r="J707" s="34" t="str"/>
      <x:c r="K707" s="34" t="str"/>
      <x:c r="L707" s="34" t="str"/>
      <x:c r="M707" s="12" t="str"/>
      <x:c r="N707" s="12" t="str">
        <x:v>Tool, Harvest, Retreat</x:v>
      </x:c>
      <x:c r="O707" s="12" t="str">
        <x:v>When a hunt or monster consequence is previewed, reduce it by 3; on retreat, preserve 2 gathered resource.</x:v>
      </x:c>
      <x:c r="P707" s="12" t="str">
        <x:v>When a hunt event, retreat roll, or monster consequence is previewed, reduce the penalty by 3. If retreating, preserve 2 gathered resource. If played after blocking, your next Counter gains +2 damage.</x:v>
      </x:c>
      <x:c r="Q707" s="12" t="str"/>
      <x:c r="R707" s="12" t="str">
        <x:v>quirk: counterReady</x:v>
      </x:c>
      <x:c r="S707" s="12" t="str">
        <x:v>13245e6a8b34</x:v>
      </x:c>
      <x:c r="T707" s="12" t="n">
        <x:f>COUNTIF($S$2:$S$757,S707)</x:f>
        <x:v>1</x:v>
      </x:c>
      <x:c r="U707" s="12" t="str">
        <x:f>IF(T707=1,"OK","DUPLICATE")</x:f>
        <x:v>OK</x:v>
      </x:c>
    </x:row>
    <x:row r="708" ht="39.599998474121094" hidden="0" customHeight="1">
      <x:c r="A708" s="12" t="str">
        <x:v>Vagabond Armor Set</x:v>
      </x:c>
      <x:c r="B708" s="12" t="str">
        <x:v>VAGABOND ARMOR SET</x:v>
      </x:c>
      <x:c r="C708" s="12" t="str">
        <x:v>set</x:v>
      </x:c>
      <x:c r="D708" s="12" t="str">
        <x:v>armor</x:v>
      </x:c>
      <x:c r="E708" s="12" t="str">
        <x:v>early</x:v>
      </x:c>
      <x:c r="F708" s="12" t="str">
        <x:v>uncommon</x:v>
      </x:c>
      <x:c r="G708" s="12" t="str">
        <x:v>Vagabond Armor Set — Brace</x:v>
      </x:c>
      <x:c r="H708" s="34" t="n">
        <x:v>1</x:v>
      </x:c>
      <x:c r="I708" s="34" t="str">
        <x:v>skill</x:v>
      </x:c>
      <x:c r="J708" s="34" t="str"/>
      <x:c r="K708" s="34" t="str"/>
      <x:c r="L708" s="34" t="n">
        <x:v>4</x:v>
      </x:c>
      <x:c r="M708" s="12" t="str"/>
      <x:c r="N708" s="12" t="str">
        <x:v>Defensive, Party, WoundCare</x:v>
      </x:c>
      <x:c r="O708" s="12" t="str">
        <x:v>Gain 4 block and Guarded 1. If hit before your next turn, reduce Bleed or Panic by 1.</x:v>
      </x:c>
      <x:c r="P708" s="12" t="str">
        <x:v>Gain 4 block and Guarded 1. If the next monster hit lands before your next turn, reduce Bleed or Panic by 1 after damage. If used on a hunt node, also mark one gathered resource as confirmed.</x:v>
      </x:c>
      <x:c r="Q708" s="12" t="str"/>
      <x:c r="R708" s="12" t="str">
        <x:v>quirk: retreat</x:v>
      </x:c>
      <x:c r="S708" s="12" t="str">
        <x:v>3233223788ae</x:v>
      </x:c>
      <x:c r="T708" s="12" t="n">
        <x:f>COUNTIF($S$2:$S$757,S708)</x:f>
        <x:v>1</x:v>
      </x:c>
      <x:c r="U708" s="12" t="str">
        <x:f>IF(T708=1,"OK","DUPLICATE")</x:f>
        <x:v>OK</x:v>
      </x:c>
    </x:row>
    <x:row r="709" ht="39.599998474121094" hidden="0" customHeight="1">
      <x:c r="A709" s="12" t="str">
        <x:v>Vagabond Armor Set</x:v>
      </x:c>
      <x:c r="B709" s="12" t="str">
        <x:v>VAGABOND ARMOR SET</x:v>
      </x:c>
      <x:c r="C709" s="12" t="str">
        <x:v>set</x:v>
      </x:c>
      <x:c r="D709" s="12" t="str">
        <x:v>armor</x:v>
      </x:c>
      <x:c r="E709" s="12" t="str">
        <x:v>early</x:v>
      </x:c>
      <x:c r="F709" s="12" t="str">
        <x:v>uncommon</x:v>
      </x:c>
      <x:c r="G709" s="12" t="str">
        <x:v>Vagabond Armor Set — Setline</x:v>
      </x:c>
      <x:c r="H709" s="34" t="n">
        <x:v>1</x:v>
      </x:c>
      <x:c r="I709" s="34" t="str">
        <x:v>reaction</x:v>
      </x:c>
      <x:c r="J709" s="34" t="str"/>
      <x:c r="K709" s="34" t="str"/>
      <x:c r="L709" s="34" t="n">
        <x:v>5</x:v>
      </x:c>
      <x:c r="M709" s="12" t="str"/>
      <x:c r="N709" s="12" t="str">
        <x:v>Defensive, Party, WoundCare, Reaction</x:v>
      </x:c>
      <x:c r="O709" s="12" t="str">
        <x:v>After damage is previewed, prevent 5 damage. Then give the next ally Guarded 1.</x:v>
      </x:c>
      <x:c r="P709" s="12" t="str">
        <x:v>After incoming damage is previewed, prevent 5 damage with the set slot. Then the next ally gains Guarded 1. If used on a hunt node, also mark one gathered resource as confirmed.</x:v>
      </x:c>
      <x:c r="Q709" s="12" t="str"/>
      <x:c r="R709" s="12" t="str">
        <x:v>quirk: retreat</x:v>
      </x:c>
      <x:c r="S709" s="12" t="str">
        <x:v>e5b5285ba0cc</x:v>
      </x:c>
      <x:c r="T709" s="12" t="n">
        <x:f>COUNTIF($S$2:$S$757,S709)</x:f>
        <x:v>1</x:v>
      </x:c>
      <x:c r="U709" s="12" t="str">
        <x:f>IF(T709=1,"OK","DUPLICATE")</x:f>
        <x:v>OK</x:v>
      </x:c>
    </x:row>
    <x:row r="710" ht="39.599998474121094" hidden="0" customHeight="1">
      <x:c r="A710" s="12" t="str">
        <x:v>Vespertine Arrow</x:v>
      </x:c>
      <x:c r="B710" s="12" t="str">
        <x:v>VESPERTINE ARROW</x:v>
      </x:c>
      <x:c r="C710" s="12" t="str">
        <x:v>weapon</x:v>
      </x:c>
      <x:c r="D710" s="12" t="str">
        <x:v>bow</x:v>
      </x:c>
      <x:c r="E710" s="12" t="str">
        <x:v>mid</x:v>
      </x:c>
      <x:c r="F710" s="12" t="str">
        <x:v>uncommon</x:v>
      </x:c>
      <x:c r="G710" s="12" t="str">
        <x:v>Vespertine Arrow — Opening Strike</x:v>
      </x:c>
      <x:c r="H710" s="34" t="n">
        <x:v>1</x:v>
      </x:c>
      <x:c r="I710" s="34" t="str">
        <x:v>attack</x:v>
      </x:c>
      <x:c r="J710" s="34" t="n">
        <x:v>4</x:v>
      </x:c>
      <x:c r="K710" s="34" t="n">
        <x:v>2</x:v>
      </x:c>
      <x:c r="L710" s="34" t="str"/>
      <x:c r="M710" s="12" t="str">
        <x:v>Burn 2 | Target: Slenderman</x:v>
      </x:c>
      <x:c r="N710" s="12" t="str">
        <x:v>Ranged, Marking, Precise, Attack</x:v>
      </x:c>
      <x:c r="O710" s="12" t="str">
        <x:v>Deal 4 damage. Apply Burn 2 if the target has a Slenderman weak point, otherwise gain Marked 1.</x:v>
      </x:c>
      <x:c r="P710" s="12" t="str">
        <x:v>Deal 4 damage with Vespertine Arrow. Apply Burn 2 against a matching Slenderman weak point; otherwise apply Marked 1. You may gain Panic 1 to increase the listed number by 2.</x:v>
      </x:c>
      <x:c r="Q710" s="12" t="str"/>
      <x:c r="R710" s="12" t="str">
        <x:v>quirk: panicBrake</x:v>
      </x:c>
      <x:c r="S710" s="12" t="str">
        <x:v>d33dc59763b6</x:v>
      </x:c>
      <x:c r="T710" s="12" t="n">
        <x:f>COUNTIF($S$2:$S$757,S710)</x:f>
        <x:v>1</x:v>
      </x:c>
      <x:c r="U710" s="12" t="str">
        <x:f>IF(T710=1,"OK","DUPLICATE")</x:f>
        <x:v>OK</x:v>
      </x:c>
    </x:row>
    <x:row r="711" ht="26.399999618530273" hidden="0" customHeight="1">
      <x:c r="A711" s="12" t="str">
        <x:v>Vespertine Arrow</x:v>
      </x:c>
      <x:c r="B711" s="12" t="str">
        <x:v>VESPERTINE ARROW</x:v>
      </x:c>
      <x:c r="C711" s="12" t="str">
        <x:v>weapon</x:v>
      </x:c>
      <x:c r="D711" s="12" t="str">
        <x:v>bow</x:v>
      </x:c>
      <x:c r="E711" s="12" t="str">
        <x:v>mid</x:v>
      </x:c>
      <x:c r="F711" s="12" t="str">
        <x:v>uncommon</x:v>
      </x:c>
      <x:c r="G711" s="12" t="str">
        <x:v>Vespertine Arrow — Technique</x:v>
      </x:c>
      <x:c r="H711" s="34" t="n">
        <x:v>2</x:v>
      </x:c>
      <x:c r="I711" s="34" t="str">
        <x:v>skill</x:v>
      </x:c>
      <x:c r="J711" s="34" t="str"/>
      <x:c r="K711" s="34" t="str"/>
      <x:c r="L711" s="34" t="n">
        <x:v>4</x:v>
      </x:c>
      <x:c r="M711" s="12" t="str">
        <x:v>Opens: True</x:v>
      </x:c>
      <x:c r="N711" s="12" t="str">
        <x:v>Ranged, Marking, Precise, Setup</x:v>
      </x:c>
      <x:c r="O711" s="12" t="str">
        <x:v>Mark a wing, eye or distant weak point; ranged attacks ignore Guarded 1. Also gain 4 block.</x:v>
      </x:c>
      <x:c r="P711" s="12" t="str">
        <x:v>Mark a wing, eye or distant weak point; ranged attacks ignore Guarded 1. gain 4 block. You may gain Panic 1 to increase the listed number by 2.</x:v>
      </x:c>
      <x:c r="Q711" s="12" t="str"/>
      <x:c r="R711" s="12" t="str">
        <x:v>quirk: panicBrake</x:v>
      </x:c>
      <x:c r="S711" s="12" t="str">
        <x:v>8c0a77d25490</x:v>
      </x:c>
      <x:c r="T711" s="12" t="n">
        <x:f>COUNTIF($S$2:$S$757,S711)</x:f>
        <x:v>1</x:v>
      </x:c>
      <x:c r="U711" s="12" t="str">
        <x:f>IF(T711=1,"OK","DUPLICATE")</x:f>
        <x:v>OK</x:v>
      </x:c>
    </x:row>
    <x:row r="712" ht="26.399999618530273" hidden="0" customHeight="1">
      <x:c r="A712" s="12" t="str">
        <x:v>Vespertine Arrow</x:v>
      </x:c>
      <x:c r="B712" s="12" t="str">
        <x:v>VESPERTINE ARROW</x:v>
      </x:c>
      <x:c r="C712" s="12" t="str">
        <x:v>weapon</x:v>
      </x:c>
      <x:c r="D712" s="12" t="str">
        <x:v>bow</x:v>
      </x:c>
      <x:c r="E712" s="12" t="str">
        <x:v>mid</x:v>
      </x:c>
      <x:c r="F712" s="12" t="str">
        <x:v>uncommon</x:v>
      </x:c>
      <x:c r="G712" s="12" t="str">
        <x:v>Vespertine Arrow — Payoff</x:v>
      </x:c>
      <x:c r="H712" s="34" t="n">
        <x:v>2</x:v>
      </x:c>
      <x:c r="I712" s="34" t="str">
        <x:v>attack</x:v>
      </x:c>
      <x:c r="J712" s="34" t="n">
        <x:v>8</x:v>
      </x:c>
      <x:c r="K712" s="34" t="n">
        <x:v>3</x:v>
      </x:c>
      <x:c r="L712" s="34" t="str"/>
      <x:c r="M712" s="12" t="str">
        <x:v>Burn 1</x:v>
      </x:c>
      <x:c r="N712" s="12" t="str">
        <x:v>Ranged, Marking, Precise, Payoff, WeakPoint</x:v>
      </x:c>
      <x:c r="O712" s="12" t="str">
        <x:v>Deal 8 damage and 3 break damage. If this breaks a weak point, resolve Burn 1 and the panicBrake rider.</x:v>
      </x:c>
      <x:c r="P712" s="12" t="str">
        <x:v>Deal 8 damage and 3 break damage. If the weak point breaks, apply Burn 1 and resolve: You may gain Panic 1 to increase the listed number by 2.</x:v>
      </x:c>
      <x:c r="Q712" s="12" t="str"/>
      <x:c r="R712" s="12" t="str">
        <x:v>quirk: panicBrake | countsAsCounter False, firstCounterFree False</x:v>
      </x:c>
      <x:c r="S712" s="12" t="str">
        <x:v>181f37260129</x:v>
      </x:c>
      <x:c r="T712" s="12" t="n">
        <x:f>COUNTIF($S$2:$S$757,S712)</x:f>
        <x:v>1</x:v>
      </x:c>
      <x:c r="U712" s="12" t="str">
        <x:f>IF(T712=1,"OK","DUPLICATE")</x:f>
        <x:v>OK</x:v>
      </x:c>
    </x:row>
    <x:row r="713" ht="39.599998474121094" hidden="0" customHeight="1">
      <x:c r="A713" s="12" t="str">
        <x:v>Vespertine Bow</x:v>
      </x:c>
      <x:c r="B713" s="12" t="str">
        <x:v>VESPERTINE BOW</x:v>
      </x:c>
      <x:c r="C713" s="12" t="str">
        <x:v>weapon</x:v>
      </x:c>
      <x:c r="D713" s="12" t="str">
        <x:v>bow</x:v>
      </x:c>
      <x:c r="E713" s="12" t="str">
        <x:v>mid</x:v>
      </x:c>
      <x:c r="F713" s="12" t="str">
        <x:v>uncommon</x:v>
      </x:c>
      <x:c r="G713" s="12" t="str">
        <x:v>Vespertine Bow — Opening Strike</x:v>
      </x:c>
      <x:c r="H713" s="34" t="n">
        <x:v>1</x:v>
      </x:c>
      <x:c r="I713" s="34" t="str">
        <x:v>attack</x:v>
      </x:c>
      <x:c r="J713" s="34" t="n">
        <x:v>3</x:v>
      </x:c>
      <x:c r="K713" s="34" t="n">
        <x:v>3</x:v>
      </x:c>
      <x:c r="L713" s="34" t="str"/>
      <x:c r="M713" s="12" t="str">
        <x:v>Poison 3 | Target: Slenderman</x:v>
      </x:c>
      <x:c r="N713" s="12" t="str">
        <x:v>Ranged, Marking, Precise, Attack</x:v>
      </x:c>
      <x:c r="O713" s="12" t="str">
        <x:v>Deal 3 damage. Apply Poison 3 if the target has a Slenderman weak point, otherwise gain Marked 1.</x:v>
      </x:c>
      <x:c r="P713" s="12" t="str">
        <x:v>Deal 3 damage with Vespertine Bow. Apply Poison 3 against a matching Slenderman weak point; otherwise apply Marked 1. Chosen ally gains Guarded 1 after this resolves.</x:v>
      </x:c>
      <x:c r="Q713" s="12" t="str"/>
      <x:c r="R713" s="12" t="str">
        <x:v>quirk: ally</x:v>
      </x:c>
      <x:c r="S713" s="12" t="str">
        <x:v>5a013823633f</x:v>
      </x:c>
      <x:c r="T713" s="12" t="n">
        <x:f>COUNTIF($S$2:$S$757,S713)</x:f>
        <x:v>1</x:v>
      </x:c>
      <x:c r="U713" s="12" t="str">
        <x:f>IF(T713=1,"OK","DUPLICATE")</x:f>
        <x:v>OK</x:v>
      </x:c>
    </x:row>
    <x:row r="714" ht="26.399999618530273" hidden="0" customHeight="1">
      <x:c r="A714" s="12" t="str">
        <x:v>Vespertine Bow</x:v>
      </x:c>
      <x:c r="B714" s="12" t="str">
        <x:v>VESPERTINE BOW</x:v>
      </x:c>
      <x:c r="C714" s="12" t="str">
        <x:v>weapon</x:v>
      </x:c>
      <x:c r="D714" s="12" t="str">
        <x:v>bow</x:v>
      </x:c>
      <x:c r="E714" s="12" t="str">
        <x:v>mid</x:v>
      </x:c>
      <x:c r="F714" s="12" t="str">
        <x:v>uncommon</x:v>
      </x:c>
      <x:c r="G714" s="12" t="str">
        <x:v>Vespertine Bow — Technique</x:v>
      </x:c>
      <x:c r="H714" s="34" t="n">
        <x:v>1</x:v>
      </x:c>
      <x:c r="I714" s="34" t="str">
        <x:v>skill</x:v>
      </x:c>
      <x:c r="J714" s="34" t="str"/>
      <x:c r="K714" s="34" t="str"/>
      <x:c r="L714" s="34" t="n">
        <x:v>5</x:v>
      </x:c>
      <x:c r="M714" s="12" t="str">
        <x:v>Opens: True</x:v>
      </x:c>
      <x:c r="N714" s="12" t="str">
        <x:v>Ranged, Marking, Precise, Setup</x:v>
      </x:c>
      <x:c r="O714" s="12" t="str">
        <x:v>Mark a wing, eye or distant weak point; ranged attacks ignore Guarded 1. Also gain 5 block.</x:v>
      </x:c>
      <x:c r="P714" s="12" t="str">
        <x:v>Mark a wing, eye or distant weak point; ranged attacks ignore Guarded 1. gain 5 block. Chosen ally gains Guarded 1 after this resolves.</x:v>
      </x:c>
      <x:c r="Q714" s="12" t="str"/>
      <x:c r="R714" s="12" t="str">
        <x:v>quirk: ally</x:v>
      </x:c>
      <x:c r="S714" s="12" t="str">
        <x:v>3011f748a668</x:v>
      </x:c>
      <x:c r="T714" s="12" t="n">
        <x:f>COUNTIF($S$2:$S$757,S714)</x:f>
        <x:v>1</x:v>
      </x:c>
      <x:c r="U714" s="12" t="str">
        <x:f>IF(T714=1,"OK","DUPLICATE")</x:f>
        <x:v>OK</x:v>
      </x:c>
    </x:row>
    <x:row r="715" ht="26.399999618530273" hidden="0" customHeight="1">
      <x:c r="A715" s="12" t="str">
        <x:v>Vespertine Bow</x:v>
      </x:c>
      <x:c r="B715" s="12" t="str">
        <x:v>VESPERTINE BOW</x:v>
      </x:c>
      <x:c r="C715" s="12" t="str">
        <x:v>weapon</x:v>
      </x:c>
      <x:c r="D715" s="12" t="str">
        <x:v>bow</x:v>
      </x:c>
      <x:c r="E715" s="12" t="str">
        <x:v>mid</x:v>
      </x:c>
      <x:c r="F715" s="12" t="str">
        <x:v>uncommon</x:v>
      </x:c>
      <x:c r="G715" s="12" t="str">
        <x:v>Vespertine Bow — Payoff</x:v>
      </x:c>
      <x:c r="H715" s="34" t="n">
        <x:v>2</x:v>
      </x:c>
      <x:c r="I715" s="34" t="str">
        <x:v>attack</x:v>
      </x:c>
      <x:c r="J715" s="34" t="n">
        <x:v>5</x:v>
      </x:c>
      <x:c r="K715" s="34" t="n">
        <x:v>4</x:v>
      </x:c>
      <x:c r="L715" s="34" t="str"/>
      <x:c r="M715" s="12" t="str">
        <x:v>Poison 2</x:v>
      </x:c>
      <x:c r="N715" s="12" t="str">
        <x:v>Ranged, Marking, Precise, Payoff, WeakPoint</x:v>
      </x:c>
      <x:c r="O715" s="12" t="str">
        <x:v>Deal 5 damage and 4 break damage. If this breaks a weak point, resolve Poison 2 and the ally rider.</x:v>
      </x:c>
      <x:c r="P715" s="12" t="str">
        <x:v>Deal 5 damage and 4 break damage. If the weak point breaks, apply Poison 2 and resolve: Chosen ally gains Guarded 1 after this resolves.</x:v>
      </x:c>
      <x:c r="Q715" s="12" t="str"/>
      <x:c r="R715" s="12" t="str">
        <x:v>quirk: ally | countsAsCounter False, firstCounterFree False</x:v>
      </x:c>
      <x:c r="S715" s="12" t="str">
        <x:v>54648291054e</x:v>
      </x:c>
      <x:c r="T715" s="12" t="n">
        <x:f>COUNTIF($S$2:$S$757,S715)</x:f>
        <x:v>1</x:v>
      </x:c>
      <x:c r="U715" s="12" t="str">
        <x:f>IF(T715=1,"OK","DUPLICATE")</x:f>
        <x:v>OK</x:v>
      </x:c>
    </x:row>
    <x:row r="716" ht="26.399999618530273" hidden="0" customHeight="1">
      <x:c r="A716" s="12" t="str">
        <x:v>Vespertine Cello</x:v>
      </x:c>
      <x:c r="B716" s="12" t="str">
        <x:v>VESPERTINE CELLO</x:v>
      </x:c>
      <x:c r="C716" s="12" t="str">
        <x:v>tool</x:v>
      </x:c>
      <x:c r="D716" s="12" t="str">
        <x:v>instrument</x:v>
      </x:c>
      <x:c r="E716" s="12" t="str">
        <x:v>mid</x:v>
      </x:c>
      <x:c r="F716" s="12" t="str">
        <x:v>uncommon</x:v>
      </x:c>
      <x:c r="G716" s="12" t="str">
        <x:v>Vespertine Cello — Resonance</x:v>
      </x:c>
      <x:c r="H716" s="34" t="n">
        <x:v>1</x:v>
      </x:c>
      <x:c r="I716" s="34" t="str">
        <x:v>support</x:v>
      </x:c>
      <x:c r="J716" s="34" t="str"/>
      <x:c r="K716" s="34" t="str"/>
      <x:c r="L716" s="34" t="n">
        <x:v>4</x:v>
      </x:c>
      <x:c r="M716" s="12" t="str"/>
      <x:c r="N716" s="12" t="str">
        <x:v>Support, Party, Panic</x:v>
      </x:c>
      <x:c r="O716" s="12" t="str">
        <x:v>Chosen ally gains 4 block and Prepared 2. Gain Panic 1.</x:v>
      </x:c>
      <x:c r="P716" s="12" t="str">
        <x:v>Chosen ally gains 4 block and Prepared 2. If the phase is wrong for this item, also gain Panic 1. If you have no Bleed, Poison or Burn, add +1 to all listed values.</x:v>
      </x:c>
      <x:c r="Q716" s="12" t="str"/>
      <x:c r="R716" s="12" t="str">
        <x:v>quirk: cleanHands</x:v>
      </x:c>
      <x:c r="S716" s="12" t="str">
        <x:v>4f5995a045d1</x:v>
      </x:c>
      <x:c r="T716" s="12" t="n">
        <x:f>COUNTIF($S$2:$S$757,S716)</x:f>
        <x:v>1</x:v>
      </x:c>
      <x:c r="U716" s="12" t="str">
        <x:f>IF(T716=1,"OK","DUPLICATE")</x:f>
        <x:v>OK</x:v>
      </x:c>
    </x:row>
    <x:row r="717" ht="39.599998474121094" hidden="0" customHeight="1">
      <x:c r="A717" s="12" t="str">
        <x:v>Vespertine Cello</x:v>
      </x:c>
      <x:c r="B717" s="12" t="str">
        <x:v>VESPERTINE CELLO</x:v>
      </x:c>
      <x:c r="C717" s="12" t="str">
        <x:v>tool</x:v>
      </x:c>
      <x:c r="D717" s="12" t="str">
        <x:v>instrument</x:v>
      </x:c>
      <x:c r="E717" s="12" t="str">
        <x:v>mid</x:v>
      </x:c>
      <x:c r="F717" s="12" t="str">
        <x:v>uncommon</x:v>
      </x:c>
      <x:c r="G717" s="12" t="str">
        <x:v>Vespertine Cello — Echo</x:v>
      </x:c>
      <x:c r="H717" s="34" t="n">
        <x:v>1</x:v>
      </x:c>
      <x:c r="I717" s="34" t="str">
        <x:v>reaction</x:v>
      </x:c>
      <x:c r="J717" s="34" t="str"/>
      <x:c r="K717" s="34" t="str"/>
      <x:c r="L717" s="34" t="str"/>
      <x:c r="M717" s="12" t="str"/>
      <x:c r="N717" s="12" t="str">
        <x:v>Support, Party, Panic</x:v>
      </x:c>
      <x:c r="O717" s="12" t="str">
        <x:v>After an ally breaks a weak point, give the next ally Guarded 2 or clear Panic 2.</x:v>
      </x:c>
      <x:c r="P717" s="12" t="str">
        <x:v>After an ally breaks a weak point or survives a hunt event, choose: next ally gains Guarded 2, or clear Panic 2. If you have no Bleed, Poison or Burn, add +1 to all listed values.</x:v>
      </x:c>
      <x:c r="Q717" s="12" t="str"/>
      <x:c r="R717" s="12" t="str">
        <x:v>quirk: cleanHands</x:v>
      </x:c>
      <x:c r="S717" s="12" t="str">
        <x:v>afeaa0ba524a</x:v>
      </x:c>
      <x:c r="T717" s="12" t="n">
        <x:f>COUNTIF($S$2:$S$757,S717)</x:f>
        <x:v>1</x:v>
      </x:c>
      <x:c r="U717" s="12" t="str">
        <x:f>IF(T717=1,"OK","DUPLICATE")</x:f>
        <x:v>OK</x:v>
      </x:c>
    </x:row>
    <x:row r="718" ht="39.599998474121094" hidden="0" customHeight="1">
      <x:c r="A718" s="12" t="str">
        <x:v>Vespertine Foil</x:v>
      </x:c>
      <x:c r="B718" s="12" t="str">
        <x:v>VESPERTINE FOIL</x:v>
      </x:c>
      <x:c r="C718" s="12" t="str">
        <x:v>tool</x:v>
      </x:c>
      <x:c r="D718" s="12" t="str">
        <x:v>tool</x:v>
      </x:c>
      <x:c r="E718" s="12" t="str">
        <x:v>mid</x:v>
      </x:c>
      <x:c r="F718" s="12" t="str">
        <x:v>uncommon</x:v>
      </x:c>
      <x:c r="G718" s="12" t="str">
        <x:v>Vespertine Foil — Use</x:v>
      </x:c>
      <x:c r="H718" s="34" t="n">
        <x:v>1</x:v>
      </x:c>
      <x:c r="I718" s="34" t="str">
        <x:v>skill</x:v>
      </x:c>
      <x:c r="J718" s="34" t="str"/>
      <x:c r="K718" s="34" t="str"/>
      <x:c r="L718" s="34" t="str"/>
      <x:c r="M718" s="12" t="str">
        <x:v>Shock 2</x:v>
      </x:c>
      <x:c r="N718" s="12" t="str">
        <x:v>Tool, Harvest, Retreat</x:v>
      </x:c>
      <x:c r="O718" s="12" t="str">
        <x:v>Gain +3 to the next harvest, retreat, or weak-point test. If it fails, apply Shock 2 to the quarry or clear it from a survivor.</x:v>
      </x:c>
      <x:c r="P718" s="12" t="str">
        <x:v>Gain +3 to the next harvest, retreat, or weak-point test linked to Sense Memory. On failure, either apply Shock 2 to the quarry or clear that status from a survivor. If this would drop you to 0 HP, resolve the card first, then die if still at 0 HP.</x:v>
      </x:c>
      <x:c r="Q718" s="12" t="str"/>
      <x:c r="R718" s="12" t="str">
        <x:v>quirk: lastLight</x:v>
      </x:c>
      <x:c r="S718" s="12" t="str">
        <x:v>3a302fb7e2a4</x:v>
      </x:c>
      <x:c r="T718" s="12" t="n">
        <x:f>COUNTIF($S$2:$S$757,S718)</x:f>
        <x:v>1</x:v>
      </x:c>
      <x:c r="U718" s="12" t="str">
        <x:f>IF(T718=1,"OK","DUPLICATE")</x:f>
        <x:v>OK</x:v>
      </x:c>
    </x:row>
    <x:row r="719" ht="39.599998474121094" hidden="0" customHeight="1">
      <x:c r="A719" s="12" t="str">
        <x:v>Vespertine Foil</x:v>
      </x:c>
      <x:c r="B719" s="12" t="str">
        <x:v>VESPERTINE FOIL</x:v>
      </x:c>
      <x:c r="C719" s="12" t="str">
        <x:v>tool</x:v>
      </x:c>
      <x:c r="D719" s="12" t="str">
        <x:v>tool</x:v>
      </x:c>
      <x:c r="E719" s="12" t="str">
        <x:v>mid</x:v>
      </x:c>
      <x:c r="F719" s="12" t="str">
        <x:v>uncommon</x:v>
      </x:c>
      <x:c r="G719" s="12" t="str">
        <x:v>Vespertine Foil — Contingency</x:v>
      </x:c>
      <x:c r="H719" s="34" t="n">
        <x:v>1</x:v>
      </x:c>
      <x:c r="I719" s="34" t="str">
        <x:v>reaction</x:v>
      </x:c>
      <x:c r="J719" s="34" t="str"/>
      <x:c r="K719" s="34" t="str"/>
      <x:c r="L719" s="34" t="str"/>
      <x:c r="M719" s="12" t="str"/>
      <x:c r="N719" s="12" t="str">
        <x:v>Tool, Harvest, Retreat</x:v>
      </x:c>
      <x:c r="O719" s="12" t="str">
        <x:v>When a hunt or monster consequence is previewed, reduce it by 4; on retreat, preserve 1 gathered resource.</x:v>
      </x:c>
      <x:c r="P719" s="12" t="str">
        <x:v>When a hunt event, retreat roll, or monster consequence is previewed, reduce the penalty by 4. If retreating, preserve 1 gathered resource. If this would drop you to 0 HP, resolve the card first, then die if still at 0 HP.</x:v>
      </x:c>
      <x:c r="Q719" s="12" t="str"/>
      <x:c r="R719" s="12" t="str">
        <x:v>quirk: lastLight</x:v>
      </x:c>
      <x:c r="S719" s="12" t="str">
        <x:v>5ccf6c569b35</x:v>
      </x:c>
      <x:c r="T719" s="12" t="n">
        <x:f>COUNTIF($S$2:$S$757,S719)</x:f>
        <x:v>1</x:v>
      </x:c>
      <x:c r="U719" s="12" t="str">
        <x:f>IF(T719=1,"OK","DUPLICATE")</x:f>
        <x:v>OK</x:v>
      </x:c>
    </x:row>
    <x:row r="720" ht="52.79999923706055" hidden="0" customHeight="1">
      <x:c r="A720" s="12" t="str">
        <x:v>Web Eye Wreath</x:v>
      </x:c>
      <x:c r="B720" s="12" t="str">
        <x:v>WEB EYE WREATH</x:v>
      </x:c>
      <x:c r="C720" s="12" t="str">
        <x:v>head</x:v>
      </x:c>
      <x:c r="D720" s="12" t="str">
        <x:v>charm</x:v>
      </x:c>
      <x:c r="E720" s="12" t="str">
        <x:v>mid</x:v>
      </x:c>
      <x:c r="F720" s="12" t="str">
        <x:v>uncommon</x:v>
      </x:c>
      <x:c r="G720" s="12" t="str">
        <x:v>Web Eye Wreath — Omen</x:v>
      </x:c>
      <x:c r="H720" s="34" t="n">
        <x:v>0</x:v>
      </x:c>
      <x:c r="I720" s="34" t="str">
        <x:v>skill</x:v>
      </x:c>
      <x:c r="J720" s="34" t="str"/>
      <x:c r="K720" s="34" t="str"/>
      <x:c r="L720" s="34" t="str"/>
      <x:c r="M720" s="12" t="str"/>
      <x:c r="N720" s="12" t="str">
        <x:v>Charm, Passive, Survival</x:v>
      </x:c>
      <x:c r="O720" s="12" t="str">
        <x:v>Peek at the next quarry card or weak-point reward. You may mark it; if you do, gain Panic 1; If you have any wound, add +1 break damage but gain Panic 1.</x:v>
      </x:c>
      <x:c r="P720" s="12" t="str">
        <x:v>Peek at the next quarry AI, hit-location or weak-point reward, depending on screen. You may mark it. If marked, gain Panic 1. The quarry targets this survivor next unless another card redirects it. If you have any wound, add +1 break damage but gain Panic 1.</x:v>
      </x:c>
      <x:c r="Q720" s="12" t="str"/>
      <x:c r="R720" s="12" t="str">
        <x:v>quirk: bait+woundedEdge | uniqueRider:woundedEdge</x:v>
      </x:c>
      <x:c r="S720" s="12" t="str">
        <x:v>46646e300954</x:v>
      </x:c>
      <x:c r="T720" s="12" t="n">
        <x:f>COUNTIF($S$2:$S$757,S720)</x:f>
        <x:v>1</x:v>
      </x:c>
      <x:c r="U720" s="12" t="str">
        <x:f>IF(T720=1,"OK","DUPLICATE")</x:f>
        <x:v>OK</x:v>
      </x:c>
    </x:row>
    <x:row r="721" ht="39.599998474121094" hidden="0" customHeight="1">
      <x:c r="A721" s="12" t="str">
        <x:v>Web Eye Wreath</x:v>
      </x:c>
      <x:c r="B721" s="12" t="str">
        <x:v>WEB EYE WREATH</x:v>
      </x:c>
      <x:c r="C721" s="12" t="str">
        <x:v>head</x:v>
      </x:c>
      <x:c r="D721" s="12" t="str">
        <x:v>charm</x:v>
      </x:c>
      <x:c r="E721" s="12" t="str">
        <x:v>mid</x:v>
      </x:c>
      <x:c r="F721" s="12" t="str">
        <x:v>uncommon</x:v>
      </x:c>
      <x:c r="G721" s="12" t="str">
        <x:v>Web Eye Wreath — Glimmer</x:v>
      </x:c>
      <x:c r="H721" s="34" t="n">
        <x:v>0</x:v>
      </x:c>
      <x:c r="I721" s="34" t="str">
        <x:v>reaction</x:v>
      </x:c>
      <x:c r="J721" s="34" t="str"/>
      <x:c r="K721" s="34" t="str"/>
      <x:c r="L721" s="34" t="str"/>
      <x:c r="M721" s="12" t="str"/>
      <x:c r="N721" s="12" t="str">
        <x:v>Charm, Passive, Survival</x:v>
      </x:c>
      <x:c r="O721" s="12" t="str">
        <x:v>When Blind or a hunt consequence would affect you, reduce it by 4; exhaust this charm.</x:v>
      </x:c>
      <x:c r="P721" s="12" t="str">
        <x:v>When Blind, Panic, or a hunt consequence would affect this survivor, reduce it by 4; exhaust this charm until the next settlement phase. The quarry targets this survivor next unless another card redirects it.</x:v>
      </x:c>
      <x:c r="Q721" s="12" t="str"/>
      <x:c r="R721" s="12" t="str">
        <x:v>quirk: bait</x:v>
      </x:c>
      <x:c r="S721" s="12" t="str">
        <x:v>6235b0e4df08</x:v>
      </x:c>
      <x:c r="T721" s="12" t="n">
        <x:f>COUNTIF($S$2:$S$757,S721)</x:f>
        <x:v>1</x:v>
      </x:c>
      <x:c r="U721" s="12" t="str">
        <x:f>IF(T721=1,"OK","DUPLICATE")</x:f>
        <x:v>OK</x:v>
      </x:c>
    </x:row>
    <x:row r="722" ht="26.399999618530273" hidden="0" customHeight="1">
      <x:c r="A722" s="12" t="str">
        <x:v>Whisker Harp</x:v>
      </x:c>
      <x:c r="B722" s="12" t="str">
        <x:v>WHISKER HARP</x:v>
      </x:c>
      <x:c r="C722" s="12" t="str">
        <x:v>tool</x:v>
      </x:c>
      <x:c r="D722" s="12" t="str">
        <x:v>instrument</x:v>
      </x:c>
      <x:c r="E722" s="12" t="str">
        <x:v>early</x:v>
      </x:c>
      <x:c r="F722" s="12" t="str">
        <x:v>uncommon</x:v>
      </x:c>
      <x:c r="G722" s="12" t="str">
        <x:v>Whisker Harp — Resonance</x:v>
      </x:c>
      <x:c r="H722" s="34" t="n">
        <x:v>1</x:v>
      </x:c>
      <x:c r="I722" s="34" t="str">
        <x:v>support</x:v>
      </x:c>
      <x:c r="J722" s="34" t="str"/>
      <x:c r="K722" s="34" t="str"/>
      <x:c r="L722" s="34" t="n">
        <x:v>2</x:v>
      </x:c>
      <x:c r="M722" s="12" t="str"/>
      <x:c r="N722" s="12" t="str">
        <x:v>Support, Party, Panic</x:v>
      </x:c>
      <x:c r="O722" s="12" t="str">
        <x:v>Chosen ally gains 2 block and Prepared 1. Gain Panic 1.</x:v>
      </x:c>
      <x:c r="P722" s="12" t="str">
        <x:v>Chosen ally gains 2 block and Prepared 1. If the phase is wrong for this item, also gain Panic 1. If you already played an attack this turn, add +1 damage or +1 block.</x:v>
      </x:c>
      <x:c r="Q722" s="12" t="str"/>
      <x:c r="R722" s="12" t="str">
        <x:v>quirk: followUp</x:v>
      </x:c>
      <x:c r="S722" s="12" t="str">
        <x:v>7e93cf03ff35</x:v>
      </x:c>
      <x:c r="T722" s="12" t="n">
        <x:f>COUNTIF($S$2:$S$757,S722)</x:f>
        <x:v>1</x:v>
      </x:c>
      <x:c r="U722" s="12" t="str">
        <x:f>IF(T722=1,"OK","DUPLICATE")</x:f>
        <x:v>OK</x:v>
      </x:c>
    </x:row>
    <x:row r="723" ht="39.599998474121094" hidden="0" customHeight="1">
      <x:c r="A723" s="12" t="str">
        <x:v>Whisker Harp</x:v>
      </x:c>
      <x:c r="B723" s="12" t="str">
        <x:v>WHISKER HARP</x:v>
      </x:c>
      <x:c r="C723" s="12" t="str">
        <x:v>tool</x:v>
      </x:c>
      <x:c r="D723" s="12" t="str">
        <x:v>instrument</x:v>
      </x:c>
      <x:c r="E723" s="12" t="str">
        <x:v>early</x:v>
      </x:c>
      <x:c r="F723" s="12" t="str">
        <x:v>uncommon</x:v>
      </x:c>
      <x:c r="G723" s="12" t="str">
        <x:v>Whisker Harp — Echo</x:v>
      </x:c>
      <x:c r="H723" s="34" t="n">
        <x:v>1</x:v>
      </x:c>
      <x:c r="I723" s="34" t="str">
        <x:v>reaction</x:v>
      </x:c>
      <x:c r="J723" s="34" t="str"/>
      <x:c r="K723" s="34" t="str"/>
      <x:c r="L723" s="34" t="str"/>
      <x:c r="M723" s="12" t="str"/>
      <x:c r="N723" s="12" t="str">
        <x:v>Support, Party, Panic</x:v>
      </x:c>
      <x:c r="O723" s="12" t="str">
        <x:v>After an ally breaks a weak point, give the next ally Guarded 1 or clear Panic 1.</x:v>
      </x:c>
      <x:c r="P723" s="12" t="str">
        <x:v>After an ally breaks a weak point or survives a hunt event, choose: next ally gains Guarded 1, or clear Panic 1. If you already played an attack this turn, add +1 damage or +1 block.</x:v>
      </x:c>
      <x:c r="Q723" s="12" t="str"/>
      <x:c r="R723" s="12" t="str">
        <x:v>quirk: followUp</x:v>
      </x:c>
      <x:c r="S723" s="12" t="str">
        <x:v>bc857262f071</x:v>
      </x:c>
      <x:c r="T723" s="12" t="n">
        <x:f>COUNTIF($S$2:$S$757,S723)</x:f>
        <x:v>1</x:v>
      </x:c>
      <x:c r="U723" s="12" t="str">
        <x:f>IF(T723=1,"OK","DUPLICATE")</x:f>
        <x:v>OK</x:v>
      </x:c>
    </x:row>
    <x:row r="724" ht="39.599998474121094" hidden="0" customHeight="1">
      <x:c r="A724" s="12" t="str">
        <x:v>Whistling Mace</x:v>
      </x:c>
      <x:c r="B724" s="12" t="str">
        <x:v>WHISTLING MACE</x:v>
      </x:c>
      <x:c r="C724" s="12" t="str">
        <x:v>weapon</x:v>
      </x:c>
      <x:c r="D724" s="12" t="str">
        <x:v>hammer</x:v>
      </x:c>
      <x:c r="E724" s="12" t="str">
        <x:v>early</x:v>
      </x:c>
      <x:c r="F724" s="12" t="str">
        <x:v>uncommon</x:v>
      </x:c>
      <x:c r="G724" s="12" t="str">
        <x:v>Whistling Mace — Opening Strike</x:v>
      </x:c>
      <x:c r="H724" s="34" t="n">
        <x:v>1</x:v>
      </x:c>
      <x:c r="I724" s="34" t="str">
        <x:v>attack</x:v>
      </x:c>
      <x:c r="J724" s="34" t="n">
        <x:v>4</x:v>
      </x:c>
      <x:c r="K724" s="34" t="n">
        <x:v>4</x:v>
      </x:c>
      <x:c r="L724" s="34" t="str"/>
      <x:c r="M724" s="12" t="str">
        <x:v>Exposed 2 | Target: Settlement</x:v>
      </x:c>
      <x:c r="N724" s="12" t="str">
        <x:v>Heavy, Guardbreaker, WeakPoint, Attack</x:v>
      </x:c>
      <x:c r="O724" s="12" t="str">
        <x:v>Deal 4 damage. Apply Exposed 2 if the target has a Settlement weak point, otherwise gain Marked 1.</x:v>
      </x:c>
      <x:c r="P724" s="12" t="str">
        <x:v>Deal 4 damage with Whistling Mace. Apply Exposed 2 against a matching Settlement weak point; otherwise apply Marked 1. If this is the only card you play this turn, gain +2 block.</x:v>
      </x:c>
      <x:c r="Q724" s="12" t="str"/>
      <x:c r="R724" s="12" t="str">
        <x:v>quirk: stance</x:v>
      </x:c>
      <x:c r="S724" s="12" t="str">
        <x:v>38e658e621dc</x:v>
      </x:c>
      <x:c r="T724" s="12" t="n">
        <x:f>COUNTIF($S$2:$S$757,S724)</x:f>
        <x:v>1</x:v>
      </x:c>
      <x:c r="U724" s="12" t="str">
        <x:f>IF(T724=1,"OK","DUPLICATE")</x:f>
        <x:v>OK</x:v>
      </x:c>
    </x:row>
    <x:row r="725" ht="26.399999618530273" hidden="0" customHeight="1">
      <x:c r="A725" s="12" t="str">
        <x:v>Whistling Mace</x:v>
      </x:c>
      <x:c r="B725" s="12" t="str">
        <x:v>WHISTLING MACE</x:v>
      </x:c>
      <x:c r="C725" s="12" t="str">
        <x:v>weapon</x:v>
      </x:c>
      <x:c r="D725" s="12" t="str">
        <x:v>hammer</x:v>
      </x:c>
      <x:c r="E725" s="12" t="str">
        <x:v>early</x:v>
      </x:c>
      <x:c r="F725" s="12" t="str">
        <x:v>uncommon</x:v>
      </x:c>
      <x:c r="G725" s="12" t="str">
        <x:v>Whistling Mace — Technique</x:v>
      </x:c>
      <x:c r="H725" s="34" t="n">
        <x:v>2</x:v>
      </x:c>
      <x:c r="I725" s="34" t="str">
        <x:v>skill</x:v>
      </x:c>
      <x:c r="J725" s="34" t="str"/>
      <x:c r="K725" s="34" t="str"/>
      <x:c r="L725" s="34" t="n">
        <x:v>2</x:v>
      </x:c>
      <x:c r="M725" s="12" t="str">
        <x:v>Opens: True</x:v>
      </x:c>
      <x:c r="N725" s="12" t="str">
        <x:v>Heavy, Guardbreaker, WeakPoint, Setup</x:v>
      </x:c>
      <x:c r="O725" s="12" t="str">
        <x:v>Crack shell or bone; apply Exposed 1 and reduce the next block gained by the quarry by 2. Also gain 2 block.</x:v>
      </x:c>
      <x:c r="P725" s="12" t="str">
        <x:v>Crack shell or bone; apply Exposed 1 and reduce the next block gained by the quarry by 2. Gain 2 block. If this is the only card you play this turn, gain +2 block.</x:v>
      </x:c>
      <x:c r="Q725" s="12" t="str"/>
      <x:c r="R725" s="12" t="str">
        <x:v>quirk: stance</x:v>
      </x:c>
      <x:c r="S725" s="12" t="str">
        <x:v>aef434603290</x:v>
      </x:c>
      <x:c r="T725" s="12" t="n">
        <x:f>COUNTIF($S$2:$S$757,S725)</x:f>
        <x:v>1</x:v>
      </x:c>
      <x:c r="U725" s="12" t="str">
        <x:f>IF(T725=1,"OK","DUPLICATE")</x:f>
        <x:v>OK</x:v>
      </x:c>
    </x:row>
    <x:row r="726" ht="26.399999618530273" hidden="0" customHeight="1">
      <x:c r="A726" s="12" t="str">
        <x:v>Whistling Mace</x:v>
      </x:c>
      <x:c r="B726" s="12" t="str">
        <x:v>WHISTLING MACE</x:v>
      </x:c>
      <x:c r="C726" s="12" t="str">
        <x:v>weapon</x:v>
      </x:c>
      <x:c r="D726" s="12" t="str">
        <x:v>hammer</x:v>
      </x:c>
      <x:c r="E726" s="12" t="str">
        <x:v>early</x:v>
      </x:c>
      <x:c r="F726" s="12" t="str">
        <x:v>uncommon</x:v>
      </x:c>
      <x:c r="G726" s="12" t="str">
        <x:v>Whistling Mace — Payoff</x:v>
      </x:c>
      <x:c r="H726" s="34" t="n">
        <x:v>2</x:v>
      </x:c>
      <x:c r="I726" s="34" t="str">
        <x:v>attack</x:v>
      </x:c>
      <x:c r="J726" s="34" t="n">
        <x:v>6</x:v>
      </x:c>
      <x:c r="K726" s="34" t="n">
        <x:v>5</x:v>
      </x:c>
      <x:c r="L726" s="34" t="str"/>
      <x:c r="M726" s="12" t="str">
        <x:v>Exposed 1</x:v>
      </x:c>
      <x:c r="N726" s="12" t="str">
        <x:v>Heavy, Guardbreaker, WeakPoint, Payoff</x:v>
      </x:c>
      <x:c r="O726" s="12" t="str">
        <x:v>Deal 6 damage and 5 break damage. If this breaks a weak point, resolve Exposed 1 and the stance rider.</x:v>
      </x:c>
      <x:c r="P726" s="12" t="str">
        <x:v>Deal 6 damage and 5 break damage. If the weak point breaks, apply Exposed 1 and resolve: If this is the only card you play this turn, gain +2 block.</x:v>
      </x:c>
      <x:c r="Q726" s="12" t="str"/>
      <x:c r="R726" s="12" t="str">
        <x:v>quirk: stance | countsAsCounter False, firstCounterFree False</x:v>
      </x:c>
      <x:c r="S726" s="12" t="str">
        <x:v>577ba7198a97</x:v>
      </x:c>
      <x:c r="T726" s="12" t="n">
        <x:f>COUNTIF($S$2:$S$757,S726)</x:f>
        <x:v>1</x:v>
      </x:c>
      <x:c r="U726" s="12" t="str">
        <x:f>IF(T726=1,"OK","DUPLICATE")</x:f>
        <x:v>OK</x:v>
      </x:c>
    </x:row>
    <x:row r="727" ht="39.599998474121094" hidden="0" customHeight="1">
      <x:c r="A727" s="12" t="str">
        <x:v>Pale Hunter Armor Set</x:v>
      </x:c>
      <x:c r="B727" s="12" t="str">
        <x:v>WHITE LION ARMOR SET</x:v>
      </x:c>
      <x:c r="C727" s="12" t="str">
        <x:v>set</x:v>
      </x:c>
      <x:c r="D727" s="12" t="str">
        <x:v>armor</x:v>
      </x:c>
      <x:c r="E727" s="12" t="str">
        <x:v>early</x:v>
      </x:c>
      <x:c r="F727" s="12" t="str">
        <x:v>uncommon</x:v>
      </x:c>
      <x:c r="G727" s="12" t="str">
        <x:v>Pale Hunter Armor Set — Brace</x:v>
      </x:c>
      <x:c r="H727" s="34" t="n">
        <x:v>1</x:v>
      </x:c>
      <x:c r="I727" s="34" t="str">
        <x:v>skill</x:v>
      </x:c>
      <x:c r="J727" s="34" t="str"/>
      <x:c r="K727" s="34" t="str"/>
      <x:c r="L727" s="34" t="n">
        <x:v>4</x:v>
      </x:c>
      <x:c r="M727" s="12" t="str"/>
      <x:c r="N727" s="12" t="str">
        <x:v>Defensive, Party, WoundCare</x:v>
      </x:c>
      <x:c r="O727" s="12" t="str">
        <x:v>Gain 4 block and Guarded 3. If hit before your next turn, reduce Bleed or Panic by 1.</x:v>
      </x:c>
      <x:c r="P727" s="12" t="str">
        <x:v>Gain 4 block and Guarded 3. If the next monster hit lands before your next turn, reduce Bleed or Panic by 1 after damage. The quarry targets this survivor next unless another card redirects it.</x:v>
      </x:c>
      <x:c r="Q727" s="12" t="str"/>
      <x:c r="R727" s="12" t="str">
        <x:v>quirk: bait</x:v>
      </x:c>
      <x:c r="S727" s="12" t="str">
        <x:v>507302558adf</x:v>
      </x:c>
      <x:c r="T727" s="12" t="n">
        <x:f>COUNTIF($S$2:$S$757,S727)</x:f>
        <x:v>1</x:v>
      </x:c>
      <x:c r="U727" s="12" t="str">
        <x:f>IF(T727=1,"OK","DUPLICATE")</x:f>
        <x:v>OK</x:v>
      </x:c>
    </x:row>
    <x:row r="728" ht="39.599998474121094" hidden="0" customHeight="1">
      <x:c r="A728" s="12" t="str">
        <x:v>Pale Hunter Armor Set</x:v>
      </x:c>
      <x:c r="B728" s="12" t="str">
        <x:v>WHITE LION ARMOR SET</x:v>
      </x:c>
      <x:c r="C728" s="12" t="str">
        <x:v>set</x:v>
      </x:c>
      <x:c r="D728" s="12" t="str">
        <x:v>armor</x:v>
      </x:c>
      <x:c r="E728" s="12" t="str">
        <x:v>early</x:v>
      </x:c>
      <x:c r="F728" s="12" t="str">
        <x:v>uncommon</x:v>
      </x:c>
      <x:c r="G728" s="12" t="str">
        <x:v>Pale Hunter Armor Set — Setline</x:v>
      </x:c>
      <x:c r="H728" s="34" t="n">
        <x:v>1</x:v>
      </x:c>
      <x:c r="I728" s="34" t="str">
        <x:v>reaction</x:v>
      </x:c>
      <x:c r="J728" s="34" t="str"/>
      <x:c r="K728" s="34" t="str"/>
      <x:c r="L728" s="34" t="n">
        <x:v>7</x:v>
      </x:c>
      <x:c r="M728" s="12" t="str"/>
      <x:c r="N728" s="12" t="str">
        <x:v>Defensive, Party, WoundCare, Reaction</x:v>
      </x:c>
      <x:c r="O728" s="12" t="str">
        <x:v>After damage is previewed, prevent 7 damage. Then give the next ally Guarded 1.</x:v>
      </x:c>
      <x:c r="P728" s="12" t="str">
        <x:v>After incoming damage is previewed, prevent 7 damage with the set slot. Then the next ally gains Guarded 1. The quarry targets this survivor next unless another card redirects it.</x:v>
      </x:c>
      <x:c r="Q728" s="12" t="str"/>
      <x:c r="R728" s="12" t="str">
        <x:v>quirk: bait</x:v>
      </x:c>
      <x:c r="S728" s="12" t="str">
        <x:v>5a4bbc430628</x:v>
      </x:c>
      <x:c r="T728" s="12" t="n">
        <x:f>COUNTIF($S$2:$S$757,S728)</x:f>
        <x:v>1</x:v>
      </x:c>
      <x:c r="U728" s="12" t="str">
        <x:f>IF(T728=1,"OK","DUPLICATE")</x:f>
        <x:v>OK</x:v>
      </x:c>
    </x:row>
    <x:row r="729" ht="39.599998474121094" hidden="0" customHeight="1">
      <x:c r="A729" s="12" t="str">
        <x:v>Pale Hunter Treads</x:v>
      </x:c>
      <x:c r="B729" s="12" t="str">
        <x:v>WHITE LION BOOTS</x:v>
      </x:c>
      <x:c r="C729" s="12" t="str">
        <x:v>legs</x:v>
      </x:c>
      <x:c r="D729" s="12" t="str">
        <x:v>armor</x:v>
      </x:c>
      <x:c r="E729" s="12" t="str">
        <x:v>early</x:v>
      </x:c>
      <x:c r="F729" s="12" t="str">
        <x:v>uncommon</x:v>
      </x:c>
      <x:c r="G729" s="12" t="str">
        <x:v>Pale Hunter Treads — Brace</x:v>
      </x:c>
      <x:c r="H729" s="34" t="n">
        <x:v>1</x:v>
      </x:c>
      <x:c r="I729" s="34" t="str">
        <x:v>skill</x:v>
      </x:c>
      <x:c r="J729" s="34" t="str"/>
      <x:c r="K729" s="34" t="str"/>
      <x:c r="L729" s="34" t="n">
        <x:v>5</x:v>
      </x:c>
      <x:c r="M729" s="12" t="str"/>
      <x:c r="N729" s="12" t="str">
        <x:v>Defensive, Party, WoundCare</x:v>
      </x:c>
      <x:c r="O729" s="12" t="str">
        <x:v>Gain 5 block and Guarded 1. If hit before your next turn, reduce Bleed or Panic by 1.</x:v>
      </x:c>
      <x:c r="P729" s="12" t="str">
        <x:v>Gain 5 block and Guarded 1. If the next monster hit lands before your next turn, reduce Bleed or Panic by 1 after damage. If you have no Bleed, Poison or Burn, add +1 to all listed values.</x:v>
      </x:c>
      <x:c r="Q729" s="12" t="str"/>
      <x:c r="R729" s="12" t="str">
        <x:v>quirk: cleanHands</x:v>
      </x:c>
      <x:c r="S729" s="12" t="str">
        <x:v>bdc7dd2941ad</x:v>
      </x:c>
      <x:c r="T729" s="12" t="n">
        <x:f>COUNTIF($S$2:$S$757,S729)</x:f>
        <x:v>1</x:v>
      </x:c>
      <x:c r="U729" s="12" t="str">
        <x:f>IF(T729=1,"OK","DUPLICATE")</x:f>
        <x:v>OK</x:v>
      </x:c>
    </x:row>
    <x:row r="730" ht="39.599998474121094" hidden="0" customHeight="1">
      <x:c r="A730" s="12" t="str">
        <x:v>Pale Hunter Treads</x:v>
      </x:c>
      <x:c r="B730" s="12" t="str">
        <x:v>WHITE LION BOOTS</x:v>
      </x:c>
      <x:c r="C730" s="12" t="str">
        <x:v>legs</x:v>
      </x:c>
      <x:c r="D730" s="12" t="str">
        <x:v>armor</x:v>
      </x:c>
      <x:c r="E730" s="12" t="str">
        <x:v>early</x:v>
      </x:c>
      <x:c r="F730" s="12" t="str">
        <x:v>uncommon</x:v>
      </x:c>
      <x:c r="G730" s="12" t="str">
        <x:v>Pale Hunter Treads — Fitted Plate</x:v>
      </x:c>
      <x:c r="H730" s="34" t="n">
        <x:v>2</x:v>
      </x:c>
      <x:c r="I730" s="34" t="str">
        <x:v>reaction</x:v>
      </x:c>
      <x:c r="J730" s="34" t="str"/>
      <x:c r="K730" s="34" t="str"/>
      <x:c r="L730" s="34" t="n">
        <x:v>7</x:v>
      </x:c>
      <x:c r="M730" s="12" t="str"/>
      <x:c r="N730" s="12" t="str">
        <x:v>Defensive, Party, WoundCare, Reaction</x:v>
      </x:c>
      <x:c r="O730" s="12" t="str">
        <x:v>After damage is previewed, prevent 7 damage. Then give the next ally Guarded 1.</x:v>
      </x:c>
      <x:c r="P730" s="12" t="str">
        <x:v>After incoming damage is previewed, prevent 7 damage with the legs slot. Then the next ally gains Guarded 1. If you have no Bleed, Poison or Burn, add +1 to all listed values.</x:v>
      </x:c>
      <x:c r="Q730" s="12" t="str"/>
      <x:c r="R730" s="12" t="str">
        <x:v>quirk: cleanHands</x:v>
      </x:c>
      <x:c r="S730" s="12" t="str">
        <x:v>1724d68b7864</x:v>
      </x:c>
      <x:c r="T730" s="12" t="n">
        <x:f>COUNTIF($S$2:$S$757,S730)</x:f>
        <x:v>1</x:v>
      </x:c>
      <x:c r="U730" s="12" t="str">
        <x:f>IF(T730=1,"OK","DUPLICATE")</x:f>
        <x:v>OK</x:v>
      </x:c>
    </x:row>
    <x:row r="731" ht="39.599998474121094" hidden="0" customHeight="1">
      <x:c r="A731" s="12" t="str">
        <x:v>Pale Hunter Coat</x:v>
      </x:c>
      <x:c r="B731" s="12" t="str">
        <x:v>WHITE LION COAT</x:v>
      </x:c>
      <x:c r="C731" s="12" t="str">
        <x:v>body</x:v>
      </x:c>
      <x:c r="D731" s="12" t="str">
        <x:v>armor</x:v>
      </x:c>
      <x:c r="E731" s="12" t="str">
        <x:v>early</x:v>
      </x:c>
      <x:c r="F731" s="12" t="str">
        <x:v>uncommon</x:v>
      </x:c>
      <x:c r="G731" s="12" t="str">
        <x:v>Pale Hunter Coat — Brace</x:v>
      </x:c>
      <x:c r="H731" s="34" t="n">
        <x:v>1</x:v>
      </x:c>
      <x:c r="I731" s="34" t="str">
        <x:v>skill</x:v>
      </x:c>
      <x:c r="J731" s="34" t="str"/>
      <x:c r="K731" s="34" t="str"/>
      <x:c r="L731" s="34" t="n">
        <x:v>2</x:v>
      </x:c>
      <x:c r="M731" s="12" t="str"/>
      <x:c r="N731" s="12" t="str">
        <x:v>Defensive, Party, WoundCare</x:v>
      </x:c>
      <x:c r="O731" s="12" t="str">
        <x:v>Gain 2 block and Guarded 2. If hit before your next turn, reduce Bleed or Panic by 1.</x:v>
      </x:c>
      <x:c r="P731" s="12" t="str">
        <x:v>Gain 2 block and Guarded 2. If the next monster hit lands before your next turn, reduce Bleed or Panic by 1 after damage. If this would drop you to 0 HP, resolve the card first, then die if still at 0 HP.</x:v>
      </x:c>
      <x:c r="Q731" s="12" t="str"/>
      <x:c r="R731" s="12" t="str">
        <x:v>quirk: lastLight</x:v>
      </x:c>
      <x:c r="S731" s="12" t="str">
        <x:v>2604fd4d9dc0</x:v>
      </x:c>
      <x:c r="T731" s="12" t="n">
        <x:f>COUNTIF($S$2:$S$757,S731)</x:f>
        <x:v>1</x:v>
      </x:c>
      <x:c r="U731" s="12" t="str">
        <x:f>IF(T731=1,"OK","DUPLICATE")</x:f>
        <x:v>OK</x:v>
      </x:c>
    </x:row>
    <x:row r="732" ht="39.599998474121094" hidden="0" customHeight="1">
      <x:c r="A732" s="12" t="str">
        <x:v>Pale Hunter Coat</x:v>
      </x:c>
      <x:c r="B732" s="12" t="str">
        <x:v>WHITE LION COAT</x:v>
      </x:c>
      <x:c r="C732" s="12" t="str">
        <x:v>body</x:v>
      </x:c>
      <x:c r="D732" s="12" t="str">
        <x:v>armor</x:v>
      </x:c>
      <x:c r="E732" s="12" t="str">
        <x:v>early</x:v>
      </x:c>
      <x:c r="F732" s="12" t="str">
        <x:v>uncommon</x:v>
      </x:c>
      <x:c r="G732" s="12" t="str">
        <x:v>Pale Hunter Coat — Fitted Plate</x:v>
      </x:c>
      <x:c r="H732" s="34" t="n">
        <x:v>1</x:v>
      </x:c>
      <x:c r="I732" s="34" t="str">
        <x:v>reaction</x:v>
      </x:c>
      <x:c r="J732" s="34" t="str"/>
      <x:c r="K732" s="34" t="str"/>
      <x:c r="L732" s="34" t="n">
        <x:v>4</x:v>
      </x:c>
      <x:c r="M732" s="12" t="str"/>
      <x:c r="N732" s="12" t="str">
        <x:v>Defensive, Party, WoundCare, Reaction</x:v>
      </x:c>
      <x:c r="O732" s="12" t="str">
        <x:v>After damage is previewed, prevent 4 damage. Then give the next ally Guarded 1.</x:v>
      </x:c>
      <x:c r="P732" s="12" t="str">
        <x:v>After incoming damage is previewed, prevent 4 damage with the body slot. Then the next ally gains Guarded 1. If this would drop you to 0 HP, resolve the card first, then die if still at 0 HP.</x:v>
      </x:c>
      <x:c r="Q732" s="12" t="str"/>
      <x:c r="R732" s="12" t="str">
        <x:v>quirk: lastLight</x:v>
      </x:c>
      <x:c r="S732" s="12" t="str">
        <x:v>73d6b676d17f</x:v>
      </x:c>
      <x:c r="T732" s="12" t="n">
        <x:f>COUNTIF($S$2:$S$757,S732)</x:f>
        <x:v>1</x:v>
      </x:c>
      <x:c r="U732" s="12" t="str">
        <x:f>IF(T732=1,"OK","DUPLICATE")</x:f>
        <x:v>OK</x:v>
      </x:c>
    </x:row>
    <x:row r="733" ht="39.599998474121094" hidden="0" customHeight="1">
      <x:c r="A733" s="12" t="str">
        <x:v>Pale Hunter Gloves</x:v>
      </x:c>
      <x:c r="B733" s="12" t="str">
        <x:v>WHITE LION GAUNTLETS</x:v>
      </x:c>
      <x:c r="C733" s="12" t="str">
        <x:v>arms</x:v>
      </x:c>
      <x:c r="D733" s="12" t="str">
        <x:v>armor</x:v>
      </x:c>
      <x:c r="E733" s="12" t="str">
        <x:v>early</x:v>
      </x:c>
      <x:c r="F733" s="12" t="str">
        <x:v>uncommon</x:v>
      </x:c>
      <x:c r="G733" s="12" t="str">
        <x:v>Pale Hunter Gloves — Brace</x:v>
      </x:c>
      <x:c r="H733" s="34" t="n">
        <x:v>1</x:v>
      </x:c>
      <x:c r="I733" s="34" t="str">
        <x:v>skill</x:v>
      </x:c>
      <x:c r="J733" s="34" t="str"/>
      <x:c r="K733" s="34" t="str"/>
      <x:c r="L733" s="34" t="n">
        <x:v>3</x:v>
      </x:c>
      <x:c r="M733" s="12" t="str"/>
      <x:c r="N733" s="12" t="str">
        <x:v>Defensive, Party, WoundCare</x:v>
      </x:c>
      <x:c r="O733" s="12" t="str">
        <x:v>Gain 3 block and Guarded 3. If hit before your next turn, reduce Bleed or Panic by 1.</x:v>
      </x:c>
      <x:c r="P733" s="12" t="str">
        <x:v>Gain 3 block and Guarded 3. If the next monster hit lands before your next turn, reduce Bleed or Panic by 1 after damage. If this is your first card this turn, reduce its cost by 1, minimum 0.</x:v>
      </x:c>
      <x:c r="Q733" s="12" t="str"/>
      <x:c r="R733" s="12" t="str">
        <x:v>quirk: tempo</x:v>
      </x:c>
      <x:c r="S733" s="12" t="str">
        <x:v>a8842a53c756</x:v>
      </x:c>
      <x:c r="T733" s="12" t="n">
        <x:f>COUNTIF($S$2:$S$757,S733)</x:f>
        <x:v>1</x:v>
      </x:c>
      <x:c r="U733" s="12" t="str">
        <x:f>IF(T733=1,"OK","DUPLICATE")</x:f>
        <x:v>OK</x:v>
      </x:c>
    </x:row>
    <x:row r="734" ht="39.599998474121094" hidden="0" customHeight="1">
      <x:c r="A734" s="12" t="str">
        <x:v>Pale Hunter Gloves</x:v>
      </x:c>
      <x:c r="B734" s="12" t="str">
        <x:v>WHITE LION GAUNTLETS</x:v>
      </x:c>
      <x:c r="C734" s="12" t="str">
        <x:v>arms</x:v>
      </x:c>
      <x:c r="D734" s="12" t="str">
        <x:v>armor</x:v>
      </x:c>
      <x:c r="E734" s="12" t="str">
        <x:v>early</x:v>
      </x:c>
      <x:c r="F734" s="12" t="str">
        <x:v>uncommon</x:v>
      </x:c>
      <x:c r="G734" s="12" t="str">
        <x:v>Pale Hunter Gloves — Fitted Plate</x:v>
      </x:c>
      <x:c r="H734" s="34" t="n">
        <x:v>2</x:v>
      </x:c>
      <x:c r="I734" s="34" t="str">
        <x:v>reaction</x:v>
      </x:c>
      <x:c r="J734" s="34" t="str"/>
      <x:c r="K734" s="34" t="str"/>
      <x:c r="L734" s="34" t="n">
        <x:v>6</x:v>
      </x:c>
      <x:c r="M734" s="12" t="str"/>
      <x:c r="N734" s="12" t="str">
        <x:v>Defensive, Party, WoundCare, Reaction</x:v>
      </x:c>
      <x:c r="O734" s="12" t="str">
        <x:v>After damage is previewed, prevent 6 damage. Then give the next ally Guarded 1.</x:v>
      </x:c>
      <x:c r="P734" s="12" t="str">
        <x:v>After incoming damage is previewed, prevent 6 damage with the arms slot. Then the next ally gains Guarded 1. If this is your first card this turn, reduce its cost by 1, minimum 0.</x:v>
      </x:c>
      <x:c r="Q734" s="12" t="str"/>
      <x:c r="R734" s="12" t="str">
        <x:v>quirk: tempo</x:v>
      </x:c>
      <x:c r="S734" s="12" t="str">
        <x:v>205497a2a9e1</x:v>
      </x:c>
      <x:c r="T734" s="12" t="n">
        <x:f>COUNTIF($S$2:$S$757,S734)</x:f>
        <x:v>1</x:v>
      </x:c>
      <x:c r="U734" s="12" t="str">
        <x:f>IF(T734=1,"OK","DUPLICATE")</x:f>
        <x:v>OK</x:v>
      </x:c>
    </x:row>
    <x:row r="735" ht="39.599998474121094" hidden="0" customHeight="1">
      <x:c r="A735" s="12" t="str">
        <x:v>Pale Hunter Crown</x:v>
      </x:c>
      <x:c r="B735" s="12" t="str">
        <x:v>WHITE LION HELM</x:v>
      </x:c>
      <x:c r="C735" s="12" t="str">
        <x:v>head</x:v>
      </x:c>
      <x:c r="D735" s="12" t="str">
        <x:v>armor</x:v>
      </x:c>
      <x:c r="E735" s="12" t="str">
        <x:v>early</x:v>
      </x:c>
      <x:c r="F735" s="12" t="str">
        <x:v>uncommon</x:v>
      </x:c>
      <x:c r="G735" s="12" t="str">
        <x:v>Pale Hunter Crown — Brace</x:v>
      </x:c>
      <x:c r="H735" s="34" t="n">
        <x:v>1</x:v>
      </x:c>
      <x:c r="I735" s="34" t="str">
        <x:v>skill</x:v>
      </x:c>
      <x:c r="J735" s="34" t="str"/>
      <x:c r="K735" s="34" t="str"/>
      <x:c r="L735" s="34" t="n">
        <x:v>4</x:v>
      </x:c>
      <x:c r="M735" s="12" t="str"/>
      <x:c r="N735" s="12" t="str">
        <x:v>Defensive, Party, WoundCare</x:v>
      </x:c>
      <x:c r="O735" s="12" t="str">
        <x:v>Gain 4 block and Guarded 1. If hit before your next turn, reduce Bleed or Panic by 1.</x:v>
      </x:c>
      <x:c r="P735" s="12" t="str">
        <x:v>Gain 4 block and Guarded 1. If the next monster hit lands before your next turn, reduce Bleed or Panic by 1 after damage. If you already played an attack this turn, add +1 damage or +1 block.</x:v>
      </x:c>
      <x:c r="Q735" s="12" t="str"/>
      <x:c r="R735" s="12" t="str">
        <x:v>quirk: followUp</x:v>
      </x:c>
      <x:c r="S735" s="12" t="str">
        <x:v>fcb096c9e40a</x:v>
      </x:c>
      <x:c r="T735" s="12" t="n">
        <x:f>COUNTIF($S$2:$S$757,S735)</x:f>
        <x:v>1</x:v>
      </x:c>
      <x:c r="U735" s="12" t="str">
        <x:f>IF(T735=1,"OK","DUPLICATE")</x:f>
        <x:v>OK</x:v>
      </x:c>
    </x:row>
    <x:row r="736" ht="39.599998474121094" hidden="0" customHeight="1">
      <x:c r="A736" s="12" t="str">
        <x:v>Pale Hunter Crown</x:v>
      </x:c>
      <x:c r="B736" s="12" t="str">
        <x:v>WHITE LION HELM</x:v>
      </x:c>
      <x:c r="C736" s="12" t="str">
        <x:v>head</x:v>
      </x:c>
      <x:c r="D736" s="12" t="str">
        <x:v>armor</x:v>
      </x:c>
      <x:c r="E736" s="12" t="str">
        <x:v>early</x:v>
      </x:c>
      <x:c r="F736" s="12" t="str">
        <x:v>uncommon</x:v>
      </x:c>
      <x:c r="G736" s="12" t="str">
        <x:v>Pale Hunter Crown — Fitted Plate</x:v>
      </x:c>
      <x:c r="H736" s="34" t="n">
        <x:v>1</x:v>
      </x:c>
      <x:c r="I736" s="34" t="str">
        <x:v>reaction</x:v>
      </x:c>
      <x:c r="J736" s="34" t="str"/>
      <x:c r="K736" s="34" t="str"/>
      <x:c r="L736" s="34" t="n">
        <x:v>5</x:v>
      </x:c>
      <x:c r="M736" s="12" t="str"/>
      <x:c r="N736" s="12" t="str">
        <x:v>Defensive, Party, WoundCare, Reaction</x:v>
      </x:c>
      <x:c r="O736" s="12" t="str">
        <x:v>After damage is previewed, prevent 5 damage. Then give the next ally Guarded 1.</x:v>
      </x:c>
      <x:c r="P736" s="12" t="str">
        <x:v>After incoming damage is previewed, prevent 5 damage with the head slot. Then the next ally gains Guarded 1. If you already played an attack this turn, add +1 damage or +1 block.</x:v>
      </x:c>
      <x:c r="Q736" s="12" t="str"/>
      <x:c r="R736" s="12" t="str">
        <x:v>quirk: followUp</x:v>
      </x:c>
      <x:c r="S736" s="12" t="str">
        <x:v>af2121646f01</x:v>
      </x:c>
      <x:c r="T736" s="12" t="n">
        <x:f>COUNTIF($S$2:$S$757,S736)</x:f>
        <x:v>1</x:v>
      </x:c>
      <x:c r="U736" s="12" t="str">
        <x:f>IF(T736=1,"OK","DUPLICATE")</x:f>
        <x:v>OK</x:v>
      </x:c>
    </x:row>
    <x:row r="737" ht="52.79999923706055" hidden="0" customHeight="1">
      <x:c r="A737" s="12" t="str">
        <x:v>Pale Hunter Visage</x:v>
      </x:c>
      <x:c r="B737" s="12" t="str">
        <x:v>WHITE LION MASK</x:v>
      </x:c>
      <x:c r="C737" s="12" t="str">
        <x:v>head</x:v>
      </x:c>
      <x:c r="D737" s="12" t="str">
        <x:v>charm</x:v>
      </x:c>
      <x:c r="E737" s="12" t="str">
        <x:v>early</x:v>
      </x:c>
      <x:c r="F737" s="12" t="str">
        <x:v>uncommon</x:v>
      </x:c>
      <x:c r="G737" s="12" t="str">
        <x:v>Pale Hunter Visage — Omen</x:v>
      </x:c>
      <x:c r="H737" s="34" t="n">
        <x:v>0</x:v>
      </x:c>
      <x:c r="I737" s="34" t="str">
        <x:v>skill</x:v>
      </x:c>
      <x:c r="J737" s="34" t="str"/>
      <x:c r="K737" s="34" t="str"/>
      <x:c r="L737" s="34" t="str"/>
      <x:c r="M737" s="12" t="str"/>
      <x:c r="N737" s="12" t="str">
        <x:v>Charm, Passive, Survival</x:v>
      </x:c>
      <x:c r="O737" s="12" t="str">
        <x:v>Peek at the next quarry card or weak-point reward. You may mark it; if you do, gain Panic 1; If you have any wound, add +1 break damage but gain Panic 1.</x:v>
      </x:c>
      <x:c r="P737" s="12" t="str">
        <x:v>Peek at the next quarry AI, hit-location or weak-point reward, depending on screen. You may mark it. If marked, gain Panic 1. If you have any wound, add +1 damage but gain Panic 1. If you have any wound, add +1 break damage but gain Panic 1.</x:v>
      </x:c>
      <x:c r="Q737" s="12" t="str"/>
      <x:c r="R737" s="12" t="str">
        <x:v>quirk: wounded+woundedEdge | uniqueRider:woundedEdge</x:v>
      </x:c>
      <x:c r="S737" s="12" t="str">
        <x:v>49b044fab4fa</x:v>
      </x:c>
      <x:c r="T737" s="12" t="n">
        <x:f>COUNTIF($S$2:$S$757,S737)</x:f>
        <x:v>1</x:v>
      </x:c>
      <x:c r="U737" s="12" t="str">
        <x:f>IF(T737=1,"OK","DUPLICATE")</x:f>
        <x:v>OK</x:v>
      </x:c>
    </x:row>
    <x:row r="738" ht="39.599998474121094" hidden="0" customHeight="1">
      <x:c r="A738" s="12" t="str">
        <x:v>Pale Hunter Visage</x:v>
      </x:c>
      <x:c r="B738" s="12" t="str">
        <x:v>WHITE LION MASK</x:v>
      </x:c>
      <x:c r="C738" s="12" t="str">
        <x:v>head</x:v>
      </x:c>
      <x:c r="D738" s="12" t="str">
        <x:v>charm</x:v>
      </x:c>
      <x:c r="E738" s="12" t="str">
        <x:v>early</x:v>
      </x:c>
      <x:c r="F738" s="12" t="str">
        <x:v>uncommon</x:v>
      </x:c>
      <x:c r="G738" s="12" t="str">
        <x:v>Pale Hunter Visage — Glimmer</x:v>
      </x:c>
      <x:c r="H738" s="34" t="n">
        <x:v>0</x:v>
      </x:c>
      <x:c r="I738" s="34" t="str">
        <x:v>reaction</x:v>
      </x:c>
      <x:c r="J738" s="34" t="str"/>
      <x:c r="K738" s="34" t="str"/>
      <x:c r="L738" s="34" t="str"/>
      <x:c r="M738" s="12" t="str"/>
      <x:c r="N738" s="12" t="str">
        <x:v>Charm, Passive, Survival</x:v>
      </x:c>
      <x:c r="O738" s="12" t="str">
        <x:v>When Bleed or a hunt consequence would affect you, reduce it by 2; exhaust this charm.</x:v>
      </x:c>
      <x:c r="P738" s="12" t="str">
        <x:v>When Bleed, Panic, or a hunt consequence would affect this survivor, reduce it by 2; exhaust this charm until the next settlement phase. If you have any wound, add +1 damage but gain Panic 1.</x:v>
      </x:c>
      <x:c r="Q738" s="12" t="str"/>
      <x:c r="R738" s="12" t="str">
        <x:v>quirk: wounded</x:v>
      </x:c>
      <x:c r="S738" s="12" t="str">
        <x:v>986bce5712f3</x:v>
      </x:c>
      <x:c r="T738" s="12" t="n">
        <x:f>COUNTIF($S$2:$S$757,S738)</x:f>
        <x:v>1</x:v>
      </x:c>
      <x:c r="U738" s="12" t="str">
        <x:f>IF(T738=1,"OK","DUPLICATE")</x:f>
        <x:v>OK</x:v>
      </x:c>
    </x:row>
    <x:row r="739" ht="39.599998474121094" hidden="0" customHeight="1">
      <x:c r="A739" s="12" t="str">
        <x:v>Pale Hunter Skirt</x:v>
      </x:c>
      <x:c r="B739" s="12" t="str">
        <x:v>WHITE LION SKIRT</x:v>
      </x:c>
      <x:c r="C739" s="12" t="str">
        <x:v>waist</x:v>
      </x:c>
      <x:c r="D739" s="12" t="str">
        <x:v>armor</x:v>
      </x:c>
      <x:c r="E739" s="12" t="str">
        <x:v>early</x:v>
      </x:c>
      <x:c r="F739" s="12" t="str">
        <x:v>uncommon</x:v>
      </x:c>
      <x:c r="G739" s="12" t="str">
        <x:v>Pale Hunter Skirt — Brace</x:v>
      </x:c>
      <x:c r="H739" s="34" t="n">
        <x:v>1</x:v>
      </x:c>
      <x:c r="I739" s="34" t="str">
        <x:v>skill</x:v>
      </x:c>
      <x:c r="J739" s="34" t="str"/>
      <x:c r="K739" s="34" t="str"/>
      <x:c r="L739" s="34" t="n">
        <x:v>3</x:v>
      </x:c>
      <x:c r="M739" s="12" t="str"/>
      <x:c r="N739" s="12" t="str">
        <x:v>Defensive, Party, WoundCare</x:v>
      </x:c>
      <x:c r="O739" s="12" t="str">
        <x:v>gain 3 block and Guarded 3. If hit before your next turn, reduce Bleed or Panic by 1.</x:v>
      </x:c>
      <x:c r="P739" s="12" t="str">
        <x:v>gain 3 block and Guarded 3. If the next monster hit lands before your next turn, reduce Bleed or Panic by 1 after damage. If the quarry is Marked, draw 1 then discard 1.</x:v>
      </x:c>
      <x:c r="Q739" s="12" t="str"/>
      <x:c r="R739" s="12" t="str">
        <x:v>quirk: marked</x:v>
      </x:c>
      <x:c r="S739" s="12" t="str">
        <x:v>76937313206f</x:v>
      </x:c>
      <x:c r="T739" s="12" t="n">
        <x:f>COUNTIF($S$2:$S$757,S739)</x:f>
        <x:v>1</x:v>
      </x:c>
      <x:c r="U739" s="12" t="str">
        <x:f>IF(T739=1,"OK","DUPLICATE")</x:f>
        <x:v>OK</x:v>
      </x:c>
    </x:row>
    <x:row r="740" ht="26.399999618530273" hidden="0" customHeight="1">
      <x:c r="A740" s="12" t="str">
        <x:v>Pale Hunter Skirt</x:v>
      </x:c>
      <x:c r="B740" s="12" t="str">
        <x:v>WHITE LION SKIRT</x:v>
      </x:c>
      <x:c r="C740" s="12" t="str">
        <x:v>waist</x:v>
      </x:c>
      <x:c r="D740" s="12" t="str">
        <x:v>armor</x:v>
      </x:c>
      <x:c r="E740" s="12" t="str">
        <x:v>early</x:v>
      </x:c>
      <x:c r="F740" s="12" t="str">
        <x:v>uncommon</x:v>
      </x:c>
      <x:c r="G740" s="12" t="str">
        <x:v>Pale Hunter Skirt — Fitted Plate</x:v>
      </x:c>
      <x:c r="H740" s="34" t="n">
        <x:v>1</x:v>
      </x:c>
      <x:c r="I740" s="34" t="str">
        <x:v>reaction</x:v>
      </x:c>
      <x:c r="J740" s="34" t="str"/>
      <x:c r="K740" s="34" t="str"/>
      <x:c r="L740" s="34" t="n">
        <x:v>5</x:v>
      </x:c>
      <x:c r="M740" s="12" t="str"/>
      <x:c r="N740" s="12" t="str">
        <x:v>Defensive, Party, WoundCare, Reaction</x:v>
      </x:c>
      <x:c r="O740" s="12" t="str">
        <x:v>After damage is previewed, prevent 5 damage. Then give the next ally Guarded 1.</x:v>
      </x:c>
      <x:c r="P740" s="12" t="str">
        <x:v>After incoming damage is previewed, prevent 5 damage with the waist slot. Then the next ally gains Guarded 1. If the quarry is Marked, draw 1 then discard 1.</x:v>
      </x:c>
      <x:c r="Q740" s="12" t="str"/>
      <x:c r="R740" s="12" t="str">
        <x:v>quirk: marked</x:v>
      </x:c>
      <x:c r="S740" s="12" t="str">
        <x:v>e883438eed75</x:v>
      </x:c>
      <x:c r="T740" s="12" t="n">
        <x:f>COUNTIF($S$2:$S$757,S740)</x:f>
        <x:v>1</x:v>
      </x:c>
      <x:c r="U740" s="12" t="str">
        <x:f>IF(T740=1,"OK","DUPLICATE")</x:f>
        <x:v>OK</x:v>
      </x:c>
    </x:row>
    <x:row r="741" ht="26.399999618530273" hidden="0" customHeight="1">
      <x:c r="A741" s="12" t="str">
        <x:v>Winding Horn (Hunt Phase)</x:v>
      </x:c>
      <x:c r="B741" s="12" t="str">
        <x:v>WINDING HORN (HUNT PHASE)</x:v>
      </x:c>
      <x:c r="C741" s="12" t="str">
        <x:v>tool</x:v>
      </x:c>
      <x:c r="D741" s="12" t="str">
        <x:v>instrument</x:v>
      </x:c>
      <x:c r="E741" s="12" t="str">
        <x:v>early</x:v>
      </x:c>
      <x:c r="F741" s="12" t="str">
        <x:v>uncommon</x:v>
      </x:c>
      <x:c r="G741" s="12" t="str">
        <x:v>Winding Horn (Hunt Phase) — Hunt Call</x:v>
      </x:c>
      <x:c r="H741" s="34" t="n">
        <x:v>1</x:v>
      </x:c>
      <x:c r="I741" s="34" t="str">
        <x:v>support</x:v>
      </x:c>
      <x:c r="J741" s="34" t="str"/>
      <x:c r="K741" s="34" t="str"/>
      <x:c r="L741" s="34" t="n">
        <x:v>3</x:v>
      </x:c>
      <x:c r="M741" s="12" t="str"/>
      <x:c r="N741" s="12" t="str">
        <x:v>Support, Party, Panic</x:v>
      </x:c>
      <x:c r="O741" s="12" t="str">
        <x:v>Chosen ally gains 3 block and Prepared 1. Gain Panic 1.</x:v>
      </x:c>
      <x:c r="P741" s="12" t="str">
        <x:v>Chosen ally gains 3 block and Prepared 1. If the phase is wrong for this item, also gain Panic 1. If a tell is Open, add +2 to the listed damage or block value.</x:v>
      </x:c>
      <x:c r="Q741" s="12" t="str"/>
      <x:c r="R741" s="12" t="str">
        <x:v>quirk: openTell</x:v>
      </x:c>
      <x:c r="S741" s="12" t="str">
        <x:v>d5c9a298b5e2</x:v>
      </x:c>
      <x:c r="T741" s="12" t="n">
        <x:f>COUNTIF($S$2:$S$757,S741)</x:f>
        <x:v>1</x:v>
      </x:c>
      <x:c r="U741" s="12" t="str">
        <x:f>IF(T741=1,"OK","DUPLICATE")</x:f>
        <x:v>OK</x:v>
      </x:c>
    </x:row>
    <x:row r="742" ht="39.599998474121094" hidden="0" customHeight="1">
      <x:c r="A742" s="12" t="str">
        <x:v>Winding Horn (Hunt Phase)</x:v>
      </x:c>
      <x:c r="B742" s="12" t="str">
        <x:v>WINDING HORN (HUNT PHASE)</x:v>
      </x:c>
      <x:c r="C742" s="12" t="str">
        <x:v>tool</x:v>
      </x:c>
      <x:c r="D742" s="12" t="str">
        <x:v>instrument</x:v>
      </x:c>
      <x:c r="E742" s="12" t="str">
        <x:v>early</x:v>
      </x:c>
      <x:c r="F742" s="12" t="str">
        <x:v>uncommon</x:v>
      </x:c>
      <x:c r="G742" s="12" t="str">
        <x:v>Winding Horn (Hunt Phase) — Echo</x:v>
      </x:c>
      <x:c r="H742" s="34" t="n">
        <x:v>0</x:v>
      </x:c>
      <x:c r="I742" s="34" t="str">
        <x:v>reaction</x:v>
      </x:c>
      <x:c r="J742" s="34" t="str"/>
      <x:c r="K742" s="34" t="str"/>
      <x:c r="L742" s="34" t="str"/>
      <x:c r="M742" s="12" t="str"/>
      <x:c r="N742" s="12" t="str">
        <x:v>Support, Party, Panic</x:v>
      </x:c>
      <x:c r="O742" s="12" t="str">
        <x:v>After an ally breaks a weak point, give the next ally Guarded 1 or clear Panic 1.</x:v>
      </x:c>
      <x:c r="P742" s="12" t="str">
        <x:v>After an ally breaks a weak point or survives a hunt event, choose: next ally gains Guarded 1, or clear Panic 1. If a tell is Open, add +2 to the listed damage or block value.</x:v>
      </x:c>
      <x:c r="Q742" s="12" t="str"/>
      <x:c r="R742" s="12" t="str">
        <x:v>quirk: openTell</x:v>
      </x:c>
      <x:c r="S742" s="12" t="str">
        <x:v>d7385aea996e</x:v>
      </x:c>
      <x:c r="T742" s="12" t="n">
        <x:f>COUNTIF($S$2:$S$757,S742)</x:f>
        <x:v>1</x:v>
      </x:c>
      <x:c r="U742" s="12" t="str">
        <x:f>IF(T742=1,"OK","DUPLICATE")</x:f>
        <x:v>OK</x:v>
      </x:c>
    </x:row>
    <x:row r="743" ht="26.399999618530273" hidden="0" customHeight="1">
      <x:c r="A743" s="12" t="str">
        <x:v>Winding Horn (Showdown Phase)</x:v>
      </x:c>
      <x:c r="B743" s="12" t="str">
        <x:v>WINDING HORN (SHOWDOWN PHASE)</x:v>
      </x:c>
      <x:c r="C743" s="12" t="str">
        <x:v>tool</x:v>
      </x:c>
      <x:c r="D743" s="12" t="str">
        <x:v>instrument</x:v>
      </x:c>
      <x:c r="E743" s="12" t="str">
        <x:v>early</x:v>
      </x:c>
      <x:c r="F743" s="12" t="str">
        <x:v>uncommon</x:v>
      </x:c>
      <x:c r="G743" s="12" t="str">
        <x:v>Winding Horn (Showdown Phase) — War Call</x:v>
      </x:c>
      <x:c r="H743" s="34" t="n">
        <x:v>1</x:v>
      </x:c>
      <x:c r="I743" s="34" t="str">
        <x:v>support</x:v>
      </x:c>
      <x:c r="J743" s="34" t="str"/>
      <x:c r="K743" s="34" t="str"/>
      <x:c r="L743" s="34" t="n">
        <x:v>4</x:v>
      </x:c>
      <x:c r="M743" s="12" t="str"/>
      <x:c r="N743" s="12" t="str">
        <x:v>Support, Party, Panic</x:v>
      </x:c>
      <x:c r="O743" s="12" t="str">
        <x:v>Chosen ally gains 4 block and Prepared 2. Gain Panic 1.</x:v>
      </x:c>
      <x:c r="P743" s="12" t="str">
        <x:v>Chosen ally gains 4 block and Prepared 2. If the phase is wrong for this item, also gain Panic 1. After use, Exhaust this equipment until the next monster turn.</x:v>
      </x:c>
      <x:c r="Q743" s="12" t="str"/>
      <x:c r="R743" s="12" t="str">
        <x:v>quirk: exhaust</x:v>
      </x:c>
      <x:c r="S743" s="12" t="str">
        <x:v>5924ed9efa8a</x:v>
      </x:c>
      <x:c r="T743" s="12" t="n">
        <x:f>COUNTIF($S$2:$S$757,S743)</x:f>
        <x:v>1</x:v>
      </x:c>
      <x:c r="U743" s="12" t="str">
        <x:f>IF(T743=1,"OK","DUPLICATE")</x:f>
        <x:v>OK</x:v>
      </x:c>
    </x:row>
    <x:row r="744" ht="39.599998474121094" hidden="0" customHeight="1">
      <x:c r="A744" s="12" t="str">
        <x:v>Winding Horn (Showdown Phase)</x:v>
      </x:c>
      <x:c r="B744" s="12" t="str">
        <x:v>WINDING HORN (SHOWDOWN PHASE)</x:v>
      </x:c>
      <x:c r="C744" s="12" t="str">
        <x:v>tool</x:v>
      </x:c>
      <x:c r="D744" s="12" t="str">
        <x:v>instrument</x:v>
      </x:c>
      <x:c r="E744" s="12" t="str">
        <x:v>early</x:v>
      </x:c>
      <x:c r="F744" s="12" t="str">
        <x:v>uncommon</x:v>
      </x:c>
      <x:c r="G744" s="12" t="str">
        <x:v>Winding Horn (Showdown Phase) — Echo</x:v>
      </x:c>
      <x:c r="H744" s="34" t="n">
        <x:v>1</x:v>
      </x:c>
      <x:c r="I744" s="34" t="str">
        <x:v>reaction</x:v>
      </x:c>
      <x:c r="J744" s="34" t="str"/>
      <x:c r="K744" s="34" t="str"/>
      <x:c r="L744" s="34" t="str"/>
      <x:c r="M744" s="12" t="str"/>
      <x:c r="N744" s="12" t="str">
        <x:v>Support, Party, Panic</x:v>
      </x:c>
      <x:c r="O744" s="12" t="str">
        <x:v>After an ally breaks a weak point, give the next ally Guarded 1 or clear Panic 2.</x:v>
      </x:c>
      <x:c r="P744" s="12" t="str">
        <x:v>After an ally breaks a weak point or survives a hunt event, choose: next ally gains Guarded 1, or clear Panic 2. After use, Exhaust this equipment until the next monster turn.</x:v>
      </x:c>
      <x:c r="Q744" s="12" t="str"/>
      <x:c r="R744" s="12" t="str">
        <x:v>quirk: exhaust</x:v>
      </x:c>
      <x:c r="S744" s="12" t="str">
        <x:v>06332ec4a28e</x:v>
      </x:c>
      <x:c r="T744" s="12" t="n">
        <x:f>COUNTIF($S$2:$S$757,S744)</x:f>
        <x:v>1</x:v>
      </x:c>
      <x:c r="U744" s="12" t="str">
        <x:f>IF(T744=1,"OK","DUPLICATE")</x:f>
        <x:v>OK</x:v>
      </x:c>
    </x:row>
    <x:row r="745" ht="26.399999618530273" hidden="0" customHeight="1">
      <x:c r="A745" s="12" t="str">
        <x:v>Winged Harp (Hunt Phase)</x:v>
      </x:c>
      <x:c r="B745" s="12" t="str">
        <x:v>WINGED HARP (HUNT PHASE)</x:v>
      </x:c>
      <x:c r="C745" s="12" t="str">
        <x:v>tool</x:v>
      </x:c>
      <x:c r="D745" s="12" t="str">
        <x:v>instrument</x:v>
      </x:c>
      <x:c r="E745" s="12" t="str">
        <x:v>early</x:v>
      </x:c>
      <x:c r="F745" s="12" t="str">
        <x:v>uncommon</x:v>
      </x:c>
      <x:c r="G745" s="12" t="str">
        <x:v>Winged Harp (Hunt Phase) — Hunt Call</x:v>
      </x:c>
      <x:c r="H745" s="34" t="n">
        <x:v>1</x:v>
      </x:c>
      <x:c r="I745" s="34" t="str">
        <x:v>support</x:v>
      </x:c>
      <x:c r="J745" s="34" t="str"/>
      <x:c r="K745" s="34" t="str"/>
      <x:c r="L745" s="34" t="n">
        <x:v>5</x:v>
      </x:c>
      <x:c r="M745" s="12" t="str"/>
      <x:c r="N745" s="12" t="str">
        <x:v>Support, Party, Panic</x:v>
      </x:c>
      <x:c r="O745" s="12" t="str">
        <x:v>Chosen ally gains 5 block and Prepared 3. Gain Panic 1.</x:v>
      </x:c>
      <x:c r="P745" s="12" t="str">
        <x:v>Chosen ally gains 5 block and Prepared 3. If the phase is wrong for this item, also gain Panic 1. On a failed harvest, keep one common fallback material.</x:v>
      </x:c>
      <x:c r="Q745" s="12" t="str"/>
      <x:c r="R745" s="12" t="str">
        <x:v>quirk: salvage</x:v>
      </x:c>
      <x:c r="S745" s="12" t="str">
        <x:v>924d35d0360a</x:v>
      </x:c>
      <x:c r="T745" s="12" t="n">
        <x:f>COUNTIF($S$2:$S$757,S745)</x:f>
        <x:v>1</x:v>
      </x:c>
      <x:c r="U745" s="12" t="str">
        <x:f>IF(T745=1,"OK","DUPLICATE")</x:f>
        <x:v>OK</x:v>
      </x:c>
    </x:row>
    <x:row r="746" ht="39.599998474121094" hidden="0" customHeight="1">
      <x:c r="A746" s="12" t="str">
        <x:v>Winged Harp (Hunt Phase)</x:v>
      </x:c>
      <x:c r="B746" s="12" t="str">
        <x:v>WINGED HARP (HUNT PHASE)</x:v>
      </x:c>
      <x:c r="C746" s="12" t="str">
        <x:v>tool</x:v>
      </x:c>
      <x:c r="D746" s="12" t="str">
        <x:v>instrument</x:v>
      </x:c>
      <x:c r="E746" s="12" t="str">
        <x:v>early</x:v>
      </x:c>
      <x:c r="F746" s="12" t="str">
        <x:v>uncommon</x:v>
      </x:c>
      <x:c r="G746" s="12" t="str">
        <x:v>Winged Harp (Hunt Phase) — Echo</x:v>
      </x:c>
      <x:c r="H746" s="34" t="n">
        <x:v>0</x:v>
      </x:c>
      <x:c r="I746" s="34" t="str">
        <x:v>reaction</x:v>
      </x:c>
      <x:c r="J746" s="34" t="str"/>
      <x:c r="K746" s="34" t="str"/>
      <x:c r="L746" s="34" t="str"/>
      <x:c r="M746" s="12" t="str"/>
      <x:c r="N746" s="12" t="str">
        <x:v>Support, Party, Panic</x:v>
      </x:c>
      <x:c r="O746" s="12" t="str">
        <x:v>After an ally breaks a weak point, give the next ally Guarded 1 or clear Panic 3.</x:v>
      </x:c>
      <x:c r="P746" s="12" t="str">
        <x:v>After an ally breaks a weak point or survives a hunt event, choose: next ally gains Guarded 1, or clear Panic 3. On a failed harvest, keep one common fallback material.</x:v>
      </x:c>
      <x:c r="Q746" s="12" t="str"/>
      <x:c r="R746" s="12" t="str">
        <x:v>quirk: salvage</x:v>
      </x:c>
      <x:c r="S746" s="12" t="str">
        <x:v>88f882c303a5</x:v>
      </x:c>
      <x:c r="T746" s="12" t="n">
        <x:f>COUNTIF($S$2:$S$757,S746)</x:f>
        <x:v>1</x:v>
      </x:c>
      <x:c r="U746" s="12" t="str">
        <x:f>IF(T746=1,"OK","DUPLICATE")</x:f>
        <x:v>OK</x:v>
      </x:c>
    </x:row>
    <x:row r="747" ht="26.399999618530273" hidden="0" customHeight="1">
      <x:c r="A747" s="12" t="str">
        <x:v>Winged Harp (Showdown Phase)</x:v>
      </x:c>
      <x:c r="B747" s="12" t="str">
        <x:v>WINGED HARP (SHOWDOWN PHASE)</x:v>
      </x:c>
      <x:c r="C747" s="12" t="str">
        <x:v>tool</x:v>
      </x:c>
      <x:c r="D747" s="12" t="str">
        <x:v>instrument</x:v>
      </x:c>
      <x:c r="E747" s="12" t="str">
        <x:v>early</x:v>
      </x:c>
      <x:c r="F747" s="12" t="str">
        <x:v>uncommon</x:v>
      </x:c>
      <x:c r="G747" s="12" t="str">
        <x:v>Winged Harp (Showdown Phase) — War Call</x:v>
      </x:c>
      <x:c r="H747" s="34" t="n">
        <x:v>1</x:v>
      </x:c>
      <x:c r="I747" s="34" t="str">
        <x:v>support</x:v>
      </x:c>
      <x:c r="J747" s="34" t="str"/>
      <x:c r="K747" s="34" t="str"/>
      <x:c r="L747" s="34" t="n">
        <x:v>2</x:v>
      </x:c>
      <x:c r="M747" s="12" t="str"/>
      <x:c r="N747" s="12" t="str">
        <x:v>Support, Party, Panic</x:v>
      </x:c>
      <x:c r="O747" s="12" t="str">
        <x:v>Chosen ally gains 2 block and Prepared 1. Gain Panic 1.</x:v>
      </x:c>
      <x:c r="P747" s="12" t="str">
        <x:v>Chosen ally gains 2 block and Prepared 1. If the phase is wrong for this item, also gain Panic 1. If this is the only card you play this turn, gain +2 block.</x:v>
      </x:c>
      <x:c r="Q747" s="12" t="str"/>
      <x:c r="R747" s="12" t="str">
        <x:v>quirk: stance</x:v>
      </x:c>
      <x:c r="S747" s="12" t="str">
        <x:v>011583cb5af8</x:v>
      </x:c>
      <x:c r="T747" s="12" t="n">
        <x:f>COUNTIF($S$2:$S$757,S747)</x:f>
        <x:v>1</x:v>
      </x:c>
      <x:c r="U747" s="12" t="str">
        <x:f>IF(T747=1,"OK","DUPLICATE")</x:f>
        <x:v>OK</x:v>
      </x:c>
    </x:row>
    <x:row r="748" ht="26.399999618530273" hidden="0" customHeight="1">
      <x:c r="A748" s="12" t="str">
        <x:v>Winged Harp (Showdown Phase)</x:v>
      </x:c>
      <x:c r="B748" s="12" t="str">
        <x:v>WINGED HARP (SHOWDOWN PHASE)</x:v>
      </x:c>
      <x:c r="C748" s="12" t="str">
        <x:v>tool</x:v>
      </x:c>
      <x:c r="D748" s="12" t="str">
        <x:v>instrument</x:v>
      </x:c>
      <x:c r="E748" s="12" t="str">
        <x:v>early</x:v>
      </x:c>
      <x:c r="F748" s="12" t="str">
        <x:v>uncommon</x:v>
      </x:c>
      <x:c r="G748" s="12" t="str">
        <x:v>Winged Harp (Showdown Phase) — Echo</x:v>
      </x:c>
      <x:c r="H748" s="34" t="n">
        <x:v>1</x:v>
      </x:c>
      <x:c r="I748" s="34" t="str">
        <x:v>reaction</x:v>
      </x:c>
      <x:c r="J748" s="34" t="str"/>
      <x:c r="K748" s="34" t="str"/>
      <x:c r="L748" s="34" t="str"/>
      <x:c r="M748" s="12" t="str"/>
      <x:c r="N748" s="12" t="str">
        <x:v>Support, Party, Panic</x:v>
      </x:c>
      <x:c r="O748" s="12" t="str">
        <x:v>After an ally breaks a weak point, give the next ally Guarded 1 or clear Panic 1.</x:v>
      </x:c>
      <x:c r="P748" s="12" t="str">
        <x:v>After an ally breaks a weak point or survives a hunt event, choose: next ally gains Guarded 1, or clear Panic 1. If this is the only card you play this turn, gain +2 block.</x:v>
      </x:c>
      <x:c r="Q748" s="12" t="str"/>
      <x:c r="R748" s="12" t="str">
        <x:v>quirk: stance</x:v>
      </x:c>
      <x:c r="S748" s="12" t="str">
        <x:v>e7795e06a8ab</x:v>
      </x:c>
      <x:c r="T748" s="12" t="n">
        <x:f>COUNTIF($S$2:$S$757,S748)</x:f>
        <x:v>1</x:v>
      </x:c>
      <x:c r="U748" s="12" t="str">
        <x:f>IF(T748=1,"OK","DUPLICATE")</x:f>
        <x:v>OK</x:v>
      </x:c>
    </x:row>
    <x:row r="749" ht="39.599998474121094" hidden="0" customHeight="1">
      <x:c r="A749" s="12" t="str">
        <x:v>Xmaxe</x:v>
      </x:c>
      <x:c r="B749" s="12" t="str">
        <x:v>XMAXE</x:v>
      </x:c>
      <x:c r="C749" s="12" t="str">
        <x:v>weapon</x:v>
      </x:c>
      <x:c r="D749" s="12" t="str">
        <x:v>axe</x:v>
      </x:c>
      <x:c r="E749" s="12" t="str">
        <x:v>early</x:v>
      </x:c>
      <x:c r="F749" s="12" t="str">
        <x:v>uncommon</x:v>
      </x:c>
      <x:c r="G749" s="12" t="str">
        <x:v>Xmaxe — Opening Strike</x:v>
      </x:c>
      <x:c r="H749" s="34" t="n">
        <x:v>1</x:v>
      </x:c>
      <x:c r="I749" s="34" t="str">
        <x:v>attack</x:v>
      </x:c>
      <x:c r="J749" s="34" t="n">
        <x:v>5</x:v>
      </x:c>
      <x:c r="K749" s="34" t="n">
        <x:v>3</x:v>
      </x:c>
      <x:c r="L749" s="34" t="str"/>
      <x:c r="M749" s="12" t="str">
        <x:v>Burn 2 | Target: Promo/Anywhere</x:v>
      </x:c>
      <x:c r="N749" s="12" t="str">
        <x:v>Heavy, Brutal, Harvest, Attack</x:v>
      </x:c>
      <x:c r="O749" s="12" t="str">
        <x:v>Deal 5 damage. Apply Burn 2 if the target has a Promo/Anywhere weak point, otherwise gain Marked 1.</x:v>
      </x:c>
      <x:c r="P749" s="12" t="str">
        <x:v>Deal 5 damage with Xmaxe. Apply Burn 2 against a matching Promo/Anywhere weak point; otherwise apply Marked 1. If you have any wound, add +1 damage but gain Panic 1.</x:v>
      </x:c>
      <x:c r="Q749" s="12" t="str"/>
      <x:c r="R749" s="12" t="str">
        <x:v>quirk: wounded</x:v>
      </x:c>
      <x:c r="S749" s="12" t="str">
        <x:v>5f4f0f3cb582</x:v>
      </x:c>
      <x:c r="T749" s="12" t="n">
        <x:f>COUNTIF($S$2:$S$757,S749)</x:f>
        <x:v>1</x:v>
      </x:c>
      <x:c r="U749" s="12" t="str">
        <x:f>IF(T749=1,"OK","DUPLICATE")</x:f>
        <x:v>OK</x:v>
      </x:c>
    </x:row>
    <x:row r="750" ht="26.399999618530273" hidden="0" customHeight="1">
      <x:c r="A750" s="12" t="str">
        <x:v>Xmaxe</x:v>
      </x:c>
      <x:c r="B750" s="12" t="str">
        <x:v>XMAXE</x:v>
      </x:c>
      <x:c r="C750" s="12" t="str">
        <x:v>weapon</x:v>
      </x:c>
      <x:c r="D750" s="12" t="str">
        <x:v>axe</x:v>
      </x:c>
      <x:c r="E750" s="12" t="str">
        <x:v>early</x:v>
      </x:c>
      <x:c r="F750" s="12" t="str">
        <x:v>uncommon</x:v>
      </x:c>
      <x:c r="G750" s="12" t="str">
        <x:v>Xmaxe — Technique</x:v>
      </x:c>
      <x:c r="H750" s="34" t="n">
        <x:v>2</x:v>
      </x:c>
      <x:c r="I750" s="34" t="str">
        <x:v>skill</x:v>
      </x:c>
      <x:c r="J750" s="34" t="str"/>
      <x:c r="K750" s="34" t="str"/>
      <x:c r="L750" s="34" t="n">
        <x:v>4</x:v>
      </x:c>
      <x:c r="M750" s="12" t="str">
        <x:v>Opens: True</x:v>
      </x:c>
      <x:c r="N750" s="12" t="str">
        <x:v>Heavy, Brutal, Harvest, Setup</x:v>
      </x:c>
      <x:c r="O750" s="12" t="str">
        <x:v>Commit to a heavy chop; +3 break damage but failed fragile harvests worsen by one step. Also gain 4 block.</x:v>
      </x:c>
      <x:c r="P750" s="12" t="str">
        <x:v>Commit to a heavy chop; +3 break damage but failed fragile harvests worsen by one step. gain 4 block. If you have any wound, add +1 damage but gain Panic 1.</x:v>
      </x:c>
      <x:c r="Q750" s="12" t="str"/>
      <x:c r="R750" s="12" t="str">
        <x:v>quirk: wounded</x:v>
      </x:c>
      <x:c r="S750" s="12" t="str">
        <x:v>ab124849b64c</x:v>
      </x:c>
      <x:c r="T750" s="12" t="n">
        <x:f>COUNTIF($S$2:$S$757,S750)</x:f>
        <x:v>1</x:v>
      </x:c>
      <x:c r="U750" s="12" t="str">
        <x:f>IF(T750=1,"OK","DUPLICATE")</x:f>
        <x:v>OK</x:v>
      </x:c>
    </x:row>
    <x:row r="751" ht="26.399999618530273" hidden="0" customHeight="1">
      <x:c r="A751" s="12" t="str">
        <x:v>Xmaxe</x:v>
      </x:c>
      <x:c r="B751" s="12" t="str">
        <x:v>XMAXE</x:v>
      </x:c>
      <x:c r="C751" s="12" t="str">
        <x:v>weapon</x:v>
      </x:c>
      <x:c r="D751" s="12" t="str">
        <x:v>axe</x:v>
      </x:c>
      <x:c r="E751" s="12" t="str">
        <x:v>early</x:v>
      </x:c>
      <x:c r="F751" s="12" t="str">
        <x:v>uncommon</x:v>
      </x:c>
      <x:c r="G751" s="12" t="str">
        <x:v>Xmaxe — Payoff</x:v>
      </x:c>
      <x:c r="H751" s="34" t="n">
        <x:v>3</x:v>
      </x:c>
      <x:c r="I751" s="34" t="str">
        <x:v>attack</x:v>
      </x:c>
      <x:c r="J751" s="34" t="n">
        <x:v>7</x:v>
      </x:c>
      <x:c r="K751" s="34" t="n">
        <x:v>4</x:v>
      </x:c>
      <x:c r="L751" s="34" t="str"/>
      <x:c r="M751" s="12" t="str">
        <x:v>Burn 1</x:v>
      </x:c>
      <x:c r="N751" s="12" t="str">
        <x:v>Heavy, Brutal, Harvest, Payoff, WeakPoint</x:v>
      </x:c>
      <x:c r="O751" s="12" t="str">
        <x:v>Deal 7 damage and 4 break damage. If this breaks a weak point, resolve Burn 1 and the wounded rider.</x:v>
      </x:c>
      <x:c r="P751" s="12" t="str">
        <x:v>Deal 7 damage and 4 break damage. If the weak point breaks, apply Burn 1 and resolve: If you have any wound, add +1 damage but gain Panic 1.</x:v>
      </x:c>
      <x:c r="Q751" s="12" t="str"/>
      <x:c r="R751" s="12" t="str">
        <x:v>quirk: wounded | countsAsCounter False, firstCounterFree False</x:v>
      </x:c>
      <x:c r="S751" s="12" t="str">
        <x:v>77fe0509589b</x:v>
      </x:c>
      <x:c r="T751" s="12" t="n">
        <x:f>COUNTIF($S$2:$S$757,S751)</x:f>
        <x:v>1</x:v>
      </x:c>
      <x:c r="U751" s="12" t="str">
        <x:f>IF(T751=1,"OK","DUPLICATE")</x:f>
        <x:v>OK</x:v>
      </x:c>
    </x:row>
    <x:row r="752" ht="39.599998474121094" hidden="0" customHeight="1">
      <x:c r="A752" s="12" t="str">
        <x:v>Zanbato</x:v>
      </x:c>
      <x:c r="B752" s="12" t="str">
        <x:v>ZANBATO</x:v>
      </x:c>
      <x:c r="C752" s="12" t="str">
        <x:v>weapon</x:v>
      </x:c>
      <x:c r="D752" s="12" t="str">
        <x:v>grandWeapon</x:v>
      </x:c>
      <x:c r="E752" s="12" t="str">
        <x:v>early</x:v>
      </x:c>
      <x:c r="F752" s="12" t="str">
        <x:v>uncommon</x:v>
      </x:c>
      <x:c r="G752" s="12" t="str">
        <x:v>Zanbato — Opening Strike</x:v>
      </x:c>
      <x:c r="H752" s="34" t="n">
        <x:v>2</x:v>
      </x:c>
      <x:c r="I752" s="34" t="str">
        <x:v>attack</x:v>
      </x:c>
      <x:c r="J752" s="34" t="n">
        <x:v>5</x:v>
      </x:c>
      <x:c r="K752" s="34" t="n">
        <x:v>5</x:v>
      </x:c>
      <x:c r="L752" s="34" t="str"/>
      <x:c r="M752" s="12" t="str">
        <x:v>Poison 3 | Target: Settlement</x:v>
      </x:c>
      <x:c r="N752" s="12" t="str">
        <x:v>Heavy, Brutal, Guardbreaker, Attack</x:v>
      </x:c>
      <x:c r="O752" s="12" t="str">
        <x:v>Deal 5 damage. Apply Poison 3 if the target has a Settlement weak point, otherwise gain Marked 1.</x:v>
      </x:c>
      <x:c r="P752" s="12" t="str">
        <x:v>Deal 5 damage with Zanbato. Apply Poison 3 against a matching Settlement weak point; otherwise apply Marked 1. If this breaks a weak point, improve harvest quality by one step unless it is already Clean.</x:v>
      </x:c>
      <x:c r="Q752" s="12" t="str"/>
      <x:c r="R752" s="12" t="str">
        <x:v>quirk: harvest</x:v>
      </x:c>
      <x:c r="S752" s="12" t="str">
        <x:v>ea31c01498b5</x:v>
      </x:c>
      <x:c r="T752" s="12" t="n">
        <x:f>COUNTIF($S$2:$S$757,S752)</x:f>
        <x:v>1</x:v>
      </x:c>
      <x:c r="U752" s="12" t="str">
        <x:f>IF(T752=1,"OK","DUPLICATE")</x:f>
        <x:v>OK</x:v>
      </x:c>
    </x:row>
    <x:row r="753" ht="39.599998474121094" hidden="0" customHeight="1">
      <x:c r="A753" s="12" t="str">
        <x:v>Zanbato</x:v>
      </x:c>
      <x:c r="B753" s="12" t="str">
        <x:v>ZANBATO</x:v>
      </x:c>
      <x:c r="C753" s="12" t="str">
        <x:v>weapon</x:v>
      </x:c>
      <x:c r="D753" s="12" t="str">
        <x:v>grandWeapon</x:v>
      </x:c>
      <x:c r="E753" s="12" t="str">
        <x:v>early</x:v>
      </x:c>
      <x:c r="F753" s="12" t="str">
        <x:v>uncommon</x:v>
      </x:c>
      <x:c r="G753" s="12" t="str">
        <x:v>Zanbato — Technique</x:v>
      </x:c>
      <x:c r="H753" s="34" t="n">
        <x:v>1</x:v>
      </x:c>
      <x:c r="I753" s="34" t="str">
        <x:v>skill</x:v>
      </x:c>
      <x:c r="J753" s="34" t="str"/>
      <x:c r="K753" s="34" t="str"/>
      <x:c r="L753" s="34" t="n">
        <x:v>3</x:v>
      </x:c>
      <x:c r="M753" s="12" t="str">
        <x:v>Opens: True</x:v>
      </x:c>
      <x:c r="N753" s="12" t="str">
        <x:v>Heavy, Brutal, Guardbreaker, Setup</x:v>
      </x:c>
      <x:c r="O753" s="12" t="str">
        <x:v>Brace and telegraph; next hit gains Stagger and +2 break damage. Also gain 3 block.</x:v>
      </x:c>
      <x:c r="P753" s="12" t="str">
        <x:v>Brace and telegraph; next hit gains Stagger and +2 break damage. Gain 3 block. If this breaks a weak point, improve harvest quality by one step unless it is already Clean.</x:v>
      </x:c>
      <x:c r="Q753" s="12" t="str"/>
      <x:c r="R753" s="12" t="str">
        <x:v>quirk: harvest</x:v>
      </x:c>
      <x:c r="S753" s="12" t="str">
        <x:v>beb07469f00b</x:v>
      </x:c>
      <x:c r="T753" s="12" t="n">
        <x:f>COUNTIF($S$2:$S$757,S753)</x:f>
        <x:v>1</x:v>
      </x:c>
      <x:c r="U753" s="12" t="str">
        <x:f>IF(T753=1,"OK","DUPLICATE")</x:f>
        <x:v>OK</x:v>
      </x:c>
    </x:row>
    <x:row r="754" ht="39.599998474121094" hidden="0" customHeight="1">
      <x:c r="A754" s="12" t="str">
        <x:v>Zanbato</x:v>
      </x:c>
      <x:c r="B754" s="12" t="str">
        <x:v>ZANBATO</x:v>
      </x:c>
      <x:c r="C754" s="12" t="str">
        <x:v>weapon</x:v>
      </x:c>
      <x:c r="D754" s="12" t="str">
        <x:v>grandWeapon</x:v>
      </x:c>
      <x:c r="E754" s="12" t="str">
        <x:v>early</x:v>
      </x:c>
      <x:c r="F754" s="12" t="str">
        <x:v>uncommon</x:v>
      </x:c>
      <x:c r="G754" s="12" t="str">
        <x:v>Zanbato — Payoff</x:v>
      </x:c>
      <x:c r="H754" s="34" t="n">
        <x:v>3</x:v>
      </x:c>
      <x:c r="I754" s="34" t="str">
        <x:v>attack</x:v>
      </x:c>
      <x:c r="J754" s="34" t="n">
        <x:v>10</x:v>
      </x:c>
      <x:c r="K754" s="34" t="n">
        <x:v>6</x:v>
      </x:c>
      <x:c r="L754" s="34" t="str"/>
      <x:c r="M754" s="12" t="str">
        <x:v>Poison 2</x:v>
      </x:c>
      <x:c r="N754" s="12" t="str">
        <x:v>Heavy, Brutal, Guardbreaker, Payoff, WeakPoint</x:v>
      </x:c>
      <x:c r="O754" s="12" t="str">
        <x:v>Deal 10 damage and 6 break damage. If this breaks a weak point, resolve Poison 2 and the harvest rider.</x:v>
      </x:c>
      <x:c r="P754" s="12" t="str">
        <x:v>Deal 10 damage and 6 break damage. If the weak point breaks, apply Poison 2 and resolve: If this breaks a weak point, improve harvest quality by one step unless it is already Clean.</x:v>
      </x:c>
      <x:c r="Q754" s="12" t="str"/>
      <x:c r="R754" s="12" t="str">
        <x:v>quirk: harvest | countsAsCounter False, firstCounterFree False</x:v>
      </x:c>
      <x:c r="S754" s="12" t="str">
        <x:v>420221fae1d3</x:v>
      </x:c>
      <x:c r="T754" s="12" t="n">
        <x:f>COUNTIF($S$2:$S$757,S754)</x:f>
        <x:v>1</x:v>
      </x:c>
      <x:c r="U754" s="12" t="str">
        <x:f>IF(T754=1,"OK","DUPLICATE")</x:f>
        <x:v>OK</x:v>
      </x:c>
    </x:row>
    <x:row r="755" ht="39.599998474121094" hidden="0" customHeight="1">
      <x:c r="A755" s="12" t="str">
        <x:v>Zanbato (Broken)</x:v>
      </x:c>
      <x:c r="B755" s="12" t="str">
        <x:v>ZANBATO (BROKEN)</x:v>
      </x:c>
      <x:c r="C755" s="12" t="str">
        <x:v>weapon</x:v>
      </x:c>
      <x:c r="D755" s="12" t="str">
        <x:v>grandWeapon</x:v>
      </x:c>
      <x:c r="E755" s="12" t="str">
        <x:v>early</x:v>
      </x:c>
      <x:c r="F755" s="12" t="str">
        <x:v>common</x:v>
      </x:c>
      <x:c r="G755" s="12" t="str">
        <x:v>Zanbato (Broken) — Opening Strike</x:v>
      </x:c>
      <x:c r="H755" s="34" t="n">
        <x:v>3</x:v>
      </x:c>
      <x:c r="I755" s="34" t="str">
        <x:v>attack</x:v>
      </x:c>
      <x:c r="J755" s="34" t="n">
        <x:v>5</x:v>
      </x:c>
      <x:c r="K755" s="34" t="n">
        <x:v>2</x:v>
      </x:c>
      <x:c r="L755" s="34" t="str"/>
      <x:c r="M755" s="12" t="str">
        <x:v>Snared 1 | Target: Settlement</x:v>
      </x:c>
      <x:c r="N755" s="12" t="str">
        <x:v>Heavy, Brutal, Guardbreaker, Attack</x:v>
      </x:c>
      <x:c r="O755" s="12" t="str">
        <x:v>Deal 5 damage. Apply Snared 1 if the target has a Settlement weak point, otherwise gain Marked 1.</x:v>
      </x:c>
      <x:c r="P755" s="12" t="str">
        <x:v>Deal 5 damage with Zanbato (Broken). Apply Snared 1 against a matching Settlement weak point; otherwise apply Marked 1. You may gain Panic 1 to increase the listed number by 2.</x:v>
      </x:c>
      <x:c r="Q755" s="12" t="str"/>
      <x:c r="R755" s="12" t="str">
        <x:v>quirk: panicBrake</x:v>
      </x:c>
      <x:c r="S755" s="12" t="str">
        <x:v>7e76af1a799d</x:v>
      </x:c>
      <x:c r="T755" s="12" t="n">
        <x:f>COUNTIF($S$2:$S$757,S755)</x:f>
        <x:v>1</x:v>
      </x:c>
      <x:c r="U755" s="12" t="str">
        <x:f>IF(T755=1,"OK","DUPLICATE")</x:f>
        <x:v>OK</x:v>
      </x:c>
    </x:row>
    <x:row r="756" ht="26.399999618530273" hidden="0" customHeight="1">
      <x:c r="A756" s="12" t="str">
        <x:v>Zanbato (Broken)</x:v>
      </x:c>
      <x:c r="B756" s="12" t="str">
        <x:v>ZANBATO (BROKEN)</x:v>
      </x:c>
      <x:c r="C756" s="12" t="str">
        <x:v>weapon</x:v>
      </x:c>
      <x:c r="D756" s="12" t="str">
        <x:v>grandWeapon</x:v>
      </x:c>
      <x:c r="E756" s="12" t="str">
        <x:v>early</x:v>
      </x:c>
      <x:c r="F756" s="12" t="str">
        <x:v>common</x:v>
      </x:c>
      <x:c r="G756" s="12" t="str">
        <x:v>Zanbato (Broken) — Technique</x:v>
      </x:c>
      <x:c r="H756" s="34" t="n">
        <x:v>2</x:v>
      </x:c>
      <x:c r="I756" s="34" t="str">
        <x:v>skill</x:v>
      </x:c>
      <x:c r="J756" s="34" t="str"/>
      <x:c r="K756" s="34" t="str"/>
      <x:c r="L756" s="34" t="n">
        <x:v>1</x:v>
      </x:c>
      <x:c r="M756" s="12" t="str">
        <x:v>Opens: True</x:v>
      </x:c>
      <x:c r="N756" s="12" t="str">
        <x:v>Heavy, Brutal, Guardbreaker, Setup</x:v>
      </x:c>
      <x:c r="O756" s="12" t="str">
        <x:v>Brace and telegraph; next hit gains Stagger and +2 break damage. Also gain 1 block.</x:v>
      </x:c>
      <x:c r="P756" s="12" t="str">
        <x:v>Brace and telegraph; next hit gains Stagger and +2 break damage. Gain 1 block. You may gain Panic 1 to increase the listed number by 2.</x:v>
      </x:c>
      <x:c r="Q756" s="12" t="str"/>
      <x:c r="R756" s="12" t="str">
        <x:v>quirk: panicBrake</x:v>
      </x:c>
      <x:c r="S756" s="12" t="str">
        <x:v>e0a1da0e3ca6</x:v>
      </x:c>
      <x:c r="T756" s="12" t="n">
        <x:f>COUNTIF($S$2:$S$757,S756)</x:f>
        <x:v>1</x:v>
      </x:c>
      <x:c r="U756" s="12" t="str">
        <x:f>IF(T756=1,"OK","DUPLICATE")</x:f>
        <x:v>OK</x:v>
      </x:c>
    </x:row>
    <x:row r="757" ht="26.399999618530273" hidden="0" customHeight="1">
      <x:c r="A757" s="12" t="str">
        <x:v>Zanbato (Broken)</x:v>
      </x:c>
      <x:c r="B757" s="12" t="str">
        <x:v>ZANBATO (BROKEN)</x:v>
      </x:c>
      <x:c r="C757" s="12" t="str">
        <x:v>weapon</x:v>
      </x:c>
      <x:c r="D757" s="12" t="str">
        <x:v>grandWeapon</x:v>
      </x:c>
      <x:c r="E757" s="12" t="str">
        <x:v>early</x:v>
      </x:c>
      <x:c r="F757" s="12" t="str">
        <x:v>common</x:v>
      </x:c>
      <x:c r="G757" s="12" t="str">
        <x:v>Zanbato (Broken) — Payoff</x:v>
      </x:c>
      <x:c r="H757" s="34" t="n">
        <x:v>4</x:v>
      </x:c>
      <x:c r="I757" s="34" t="str">
        <x:v>attack</x:v>
      </x:c>
      <x:c r="J757" s="34" t="n">
        <x:v>10</x:v>
      </x:c>
      <x:c r="K757" s="34" t="n">
        <x:v>3</x:v>
      </x:c>
      <x:c r="L757" s="34" t="str"/>
      <x:c r="M757" s="12" t="str">
        <x:v>Snared 1</x:v>
      </x:c>
      <x:c r="N757" s="12" t="str">
        <x:v>Heavy, Brutal, Guardbreaker, Payoff, WeakPoint</x:v>
      </x:c>
      <x:c r="O757" s="12" t="str">
        <x:v>Deal 10 damage and 3 break damage. If this breaks a weak point, resolve Snared 1 and the panicBrake rider.</x:v>
      </x:c>
      <x:c r="P757" s="12" t="str">
        <x:v>Deal 10 damage and 3 break damage. If the weak point breaks, apply Snared 1 and resolve: You may gain Panic 1 to increase the listed number by 2.</x:v>
      </x:c>
      <x:c r="Q757" s="12" t="str"/>
      <x:c r="R757" s="12" t="str">
        <x:v>quirk: panicBrake | countsAsCounter False, firstCounterFree False</x:v>
      </x:c>
      <x:c r="S757" s="12" t="str">
        <x:v>13d09ab240a4</x:v>
      </x:c>
      <x:c r="T757" s="12" t="n">
        <x:f>COUNTIF($S$2:$S$757,S757)</x:f>
        <x:v>1</x:v>
      </x:c>
      <x:c r="U757" s="12" t="str">
        <x:f>IF(T757=1,"OK","DUPLICATE")</x:f>
        <x:v>OK</x:v>
      </x:c>
    </x:row>
  </x:sheetData>
  <x:conditionalFormatting sqref="T2:T757">
    <x:cfRule type="cellIs" dxfId="0" priority="1" operator="greaterThan">
      <x:formula>1</x:formula>
    </x:cfRule>
  </x:conditionalFormatting>
  <x:conditionalFormatting sqref="U2:U757">
    <x:cfRule type="expression" dxfId="1" priority="2">
      <x:formula>U2="DUPLICATE"</x:formula>
    </x:cfRule>
  </x:conditionalFormatting>
  <x:pageMargins left="0.7" right="0.7" top="0.75" bottom="0.75" header="0.3" footer="0.3"/>
  <x:tableParts count="1">
    <x:tablePart xmlns:r="http://schemas.openxmlformats.org/officeDocument/2006/relationships" r:id="Rb0ea1314f07f49a7"/>
  </x:tableParts>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30" hidden="0" customWidth="1"/>
    <x:col min="4" max="4" width="28" hidden="0" customWidth="1"/>
    <x:col min="5" max="5" width="28" hidden="0" customWidth="1"/>
    <x:col min="6" max="6" width="48" hidden="0" customWidth="1"/>
    <x:col min="7" max="7" width="48" hidden="0" customWidth="1"/>
    <x:col min="8" max="8" width="60" hidden="0" customWidth="1"/>
    <x:col min="9" max="9" width="60" hidden="0" customWidth="1"/>
  </x:cols>
  <x:sheetData>
    <x:row r="1" ht="15" hidden="0" customHeight="1">
      <x:c r="A1" s="39" t="str">
        <x:v>Group</x:v>
      </x:c>
      <x:c r="B1" s="39" t="str">
        <x:v>Equipment</x:v>
      </x:c>
      <x:c r="C1" s="39" t="str">
        <x:v>Card</x:v>
      </x:c>
      <x:c r="D1" s="39" t="str">
        <x:v>Card ID</x:v>
      </x:c>
      <x:c r="E1" s="39" t="str">
        <x:v>Change Made</x:v>
      </x:c>
      <x:c r="F1" s="39" t="str">
        <x:v>Before Short Effect</x:v>
      </x:c>
      <x:c r="G1" s="39" t="str">
        <x:v>After Short Effect</x:v>
      </x:c>
      <x:c r="H1" s="39" t="str">
        <x:v>Before Full Effect</x:v>
      </x:c>
      <x:c r="I1" s="39" t="str">
        <x:v>After Full Effect</x:v>
      </x:c>
    </x:row>
    <x:row r="2" ht="39.599998474121094" hidden="0" customHeight="1">
      <x:c r="A2" s="12" t="str">
        <x:v>1</x:v>
      </x:c>
      <x:c r="B2" s="12" t="str">
        <x:v>Satchel</x:v>
      </x:c>
      <x:c r="C2" s="12" t="str">
        <x:v>Satchel — Contingency</x:v>
      </x:c>
      <x:c r="D2" s="12" t="str">
        <x:v>satchelContingency</x:v>
      </x:c>
      <x:c r="E2" s="12" t="str">
        <x:v>consequenceReduction 4-&gt;5</x:v>
      </x:c>
      <x:c r="F2" s="12" t="str">
        <x:v>When a hunt or monster consequence is previewed, reduce it by 4; on retreat, preserve 1 gathered resource.</x:v>
      </x:c>
      <x:c r="G2" s="12" t="str">
        <x:v>When a hunt or monster consequence is previewed, reduce it by 5; on retreat, preserve 1 gathered resource.</x:v>
      </x:c>
      <x:c r="H2" s="12" t="str">
        <x:v>When a hunt event, retreat roll, or monster consequence is previewed, reduce the penalty by 4. If retreating, preserve 1 gathered resource. After use, Exhaust this equipment until the next monster turn.</x:v>
      </x:c>
      <x:c r="I2" s="12" t="str">
        <x:v>When a hunt event, retreat roll, or monster consequence is previewed, reduce the penalty by 5. If retreating, preserve 1 gathered resource. After use, Exhaust this equipment until the next monster turn.</x:v>
      </x:c>
    </x:row>
    <x:row r="3" ht="39.599998474121094" hidden="0" customHeight="1">
      <x:c r="A3" s="12" t="str">
        <x:v>2</x:v>
      </x:c>
      <x:c r="B3" s="12" t="str">
        <x:v>Crimson Rose</x:v>
      </x:c>
      <x:c r="C3" s="12" t="str">
        <x:v>Crimson Rose — Contingency</x:v>
      </x:c>
      <x:c r="D3" s="12" t="str">
        <x:v>crimsonRoseContingency</x:v>
      </x:c>
      <x:c r="E3" s="12" t="str">
        <x:v>consequenceReduction 4-&gt;5</x:v>
      </x:c>
      <x:c r="F3" s="12" t="str">
        <x:v>When a hunt or monster consequence is previewed, reduce it by 4; on retreat, preserve 1 gathered resource.</x:v>
      </x:c>
      <x:c r="G3" s="12" t="str">
        <x:v>When a hunt or monster consequence is previewed, reduce it by 5; on retreat, preserve 1 gathered resource.</x:v>
      </x:c>
      <x:c r="H3" s="12" t="str">
        <x:v>When a hunt event, retreat roll, or monster consequence is previewed, reduce the penalty by 4. If retreating, preserve 1 gathered resource. The quarry targets this survivor next unless another card redirects it.</x:v>
      </x:c>
      <x:c r="I3" s="12" t="str">
        <x:v>When a hunt event, retreat roll, or monster consequence is previewed, reduce the penalty by 5. If retreating, preserve 1 gathered resource. The quarry targets this survivor next unless another card redirects it.</x:v>
      </x:c>
    </x:row>
    <x:row r="4" ht="39.599998474121094" hidden="0" customHeight="1">
      <x:c r="A4" s="12" t="str">
        <x:v>3</x:v>
      </x:c>
      <x:c r="B4" s="12" t="str">
        <x:v>Blue Ring</x:v>
      </x:c>
      <x:c r="C4" s="12" t="str">
        <x:v>Blue Ring — Omen</x:v>
      </x:c>
      <x:c r="D4" s="12" t="str">
        <x:v>blueRingOmen</x:v>
      </x:c>
      <x:c r="E4" s="12" t="str">
        <x:v>added rider cleanHands</x:v>
      </x:c>
      <x:c r="F4" s="12" t="str">
        <x:v>Peek at the next quarry card or weak-point reward. You may mark it; if you do, gain Panic 1.</x:v>
      </x:c>
      <x:c r="G4" s="12" t="str">
        <x:v>Peek at the next quarry card or weak-point reward. You may mark it; if you do, gain Panic 1; If you have no Bleed, Poison, or Burn, clear Panic 1.</x:v>
      </x:c>
      <x:c r="H4" s="12" t="str">
        <x:v>Peek at the next quarry AI, hit-location or weak-point reward, depending on screen. You may mark it. If marked, gain Panic 1. If you deal no HP damage, gain +2 break damage.</x:v>
      </x:c>
      <x:c r="I4" s="12" t="str">
        <x:v>Peek at the next quarry AI, hit-location or weak-point reward, depending on screen. You may mark it. If marked, gain Panic 1. If you deal no HP damage, gain +2 break damage. If you have no Bleed, Poison, or Burn, clear Panic 1.</x:v>
      </x:c>
    </x:row>
    <x:row r="5" ht="52.79999923706055" hidden="0" customHeight="1">
      <x:c r="A5" s="12" t="str">
        <x:v>3</x:v>
      </x:c>
      <x:c r="B5" s="12" t="str">
        <x:v>Hours Ring</x:v>
      </x:c>
      <x:c r="C5" s="12" t="str">
        <x:v>Hours Ring — Omen</x:v>
      </x:c>
      <x:c r="D5" s="12" t="str">
        <x:v>hoursRingOmen</x:v>
      </x:c>
      <x:c r="E5" s="12" t="str">
        <x:v>added rider lastLight</x:v>
      </x:c>
      <x:c r="F5" s="12" t="str">
        <x:v>Peek at the next quarry card or weak-point reward. You may mark it; if you do, gain Panic 1.</x:v>
      </x:c>
      <x:c r="G5" s="12" t="str">
        <x:v>Peek at the next quarry card or weak-point reward. You may mark it; if you do, gain Panic 1; If this would drop you to 0 HP, resolve this card first, then die if still at 0 HP.</x:v>
      </x:c>
      <x:c r="H5" s="12" t="str">
        <x:v>Peek at the next quarry AI, hit-location or weak-point reward, depending on screen. You may mark it. If marked, gain Panic 1. If you deal no HP damage, gain +2 break damage.</x:v>
      </x:c>
      <x:c r="I5" s="12" t="str">
        <x:v>Peek at the next quarry AI, hit-location or weak-point reward, depending on screen. You may mark it. If marked, gain Panic 1. If you deal no HP damage, gain +2 break damage. If this would drop you to 0 HP, resolve this card first, then die if still at 0 HP.</x:v>
      </x:c>
    </x:row>
    <x:row r="6" ht="26.399999618530273" hidden="0" customHeight="1">
      <x:c r="A6" s="12" t="str">
        <x:v>4</x:v>
      </x:c>
      <x:c r="B6" s="12" t="str">
        <x:v>Nightmare Quiver</x:v>
      </x:c>
      <x:c r="C6" s="12" t="str">
        <x:v>Nightmare Quiver — Technique</x:v>
      </x:c>
      <x:c r="D6" s="12" t="str">
        <x:v>nightmareQuiverTechnique</x:v>
      </x:c>
      <x:c r="E6" s="12" t="str">
        <x:v>block 3-&gt;4</x:v>
      </x:c>
      <x:c r="F6" s="12" t="str">
        <x:v>Mark a wing, eye or distant weak point; ranged attacks ignore Guarded 1. Also gain 3 block.</x:v>
      </x:c>
      <x:c r="G6" s="12" t="str">
        <x:v>Mark a wing, eye or distant weak point; ranged attacks ignore Guarded 1. Also gain 4 block.</x:v>
      </x:c>
      <x:c r="H6" s="12" t="str">
        <x:v>Mark a wing, eye or distant weak point; ranged attacks ignore Guarded 1. Gain 3 block. After use, Exhaust this equipment until the next monster turn.</x:v>
      </x:c>
      <x:c r="I6" s="12" t="str">
        <x:v>Mark a wing, eye or distant weak point; ranged attacks ignore Guarded 1. gain 4 block. After use, Exhaust this equipment until the next monster turn.</x:v>
      </x:c>
    </x:row>
    <x:row r="7" ht="26.399999618530273" hidden="0" customHeight="1">
      <x:c r="A7" s="12" t="str">
        <x:v>4</x:v>
      </x:c>
      <x:c r="B7" s="12" t="str">
        <x:v>Noonshark Arrows</x:v>
      </x:c>
      <x:c r="C7" s="12" t="str">
        <x:v>Noonshark Arrows — Technique</x:v>
      </x:c>
      <x:c r="D7" s="12" t="str">
        <x:v>noonsharkArrowsTechnique</x:v>
      </x:c>
      <x:c r="E7" s="12" t="str">
        <x:v>block 3-&gt;5</x:v>
      </x:c>
      <x:c r="F7" s="12" t="str">
        <x:v>Mark a wing, eye or distant weak point; ranged attacks ignore Guarded 1. Also gain 3 block.</x:v>
      </x:c>
      <x:c r="G7" s="12" t="str">
        <x:v>Mark a wing, eye or distant weak point; ranged attacks ignore Guarded 1. Also gain 5 block.</x:v>
      </x:c>
      <x:c r="H7" s="12" t="str">
        <x:v>Mark a wing, eye or distant weak point; ranged attacks ignore Guarded 1. Gain 3 block. After use, Exhaust this equipment until the next monster turn.</x:v>
      </x:c>
      <x:c r="I7" s="12" t="str">
        <x:v>Mark a wing, eye or distant weak point; ranged attacks ignore Guarded 1. gain 5 block. After use, Exhaust this equipment until the next monster turn.</x:v>
      </x:c>
    </x:row>
    <x:row r="8" ht="39.599998474121094" hidden="0" customHeight="1">
      <x:c r="A8" s="12" t="str">
        <x:v>5</x:v>
      </x:c>
      <x:c r="B8" s="12" t="str">
        <x:v>Shadow Fur Treads</x:v>
      </x:c>
      <x:c r="C8" s="12" t="str">
        <x:v>Shadow Fur Treads — Brace</x:v>
      </x:c>
      <x:c r="D8" s="12" t="str">
        <x:v>shadowFurTreadsBrace</x:v>
      </x:c>
      <x:c r="E8" s="12" t="str">
        <x:v>block 5-&gt;6</x:v>
      </x:c>
      <x:c r="F8" s="12" t="str">
        <x:v>Gain 5 block and Guarded 2. If hit before your next turn, reduce Bleed or Panic by 1.</x:v>
      </x:c>
      <x:c r="G8" s="12" t="str">
        <x:v>gain 6 block and Guarded 2. If hit before your next turn, reduce Bleed or Panic by 1.</x:v>
      </x:c>
      <x:c r="H8" s="12" t="str">
        <x:v>Gain 5 block and Guarded 2. If the next monster hit lands before your next turn, reduce Bleed or Panic by 1 after damage. If the quarry is below half HP, add +1 break damage.</x:v>
      </x:c>
      <x:c r="I8" s="12" t="str">
        <x:v>gain 6 block and Guarded 2. If the next monster hit lands before your next turn, reduce Bleed or Panic by 1 after damage. If the quarry is below half HP, add +1 break damage.</x:v>
      </x:c>
    </x:row>
    <x:row r="9" ht="39.599998474121094" hidden="0" customHeight="1">
      <x:c r="A9" s="12" t="str">
        <x:v>6</x:v>
      </x:c>
      <x:c r="B9" s="12" t="str">
        <x:v>Digging Claw</x:v>
      </x:c>
      <x:c r="C9" s="12" t="str">
        <x:v>Digging Claw — Contingency</x:v>
      </x:c>
      <x:c r="D9" s="12" t="str">
        <x:v>diggingClawContingency</x:v>
      </x:c>
      <x:c r="E9" s="12" t="str">
        <x:v>consequenceReduction 4-&gt;5</x:v>
      </x:c>
      <x:c r="F9" s="12" t="str">
        <x:v>When a hunt or monster consequence is previewed, reduce it by 4; on retreat, preserve 2 gathered resource.</x:v>
      </x:c>
      <x:c r="G9" s="12" t="str">
        <x:v>When a hunt or monster consequence is previewed, reduce it by 5; on retreat, preserve 2 gathered resource.</x:v>
      </x:c>
      <x:c r="H9" s="12" t="str">
        <x:v>When a hunt event, retreat roll, or monster consequence is previewed, reduce the penalty by 4. If retreating, preserve 2 gathered resource. On a failed harvest, keep one common fallback material.</x:v>
      </x:c>
      <x:c r="I9" s="12" t="str">
        <x:v>When a hunt event, retreat roll, or monster consequence is previewed, reduce the penalty by 5. If retreating, preserve 2 gathered resource. On a failed harvest, keep one common fallback material.</x:v>
      </x:c>
    </x:row>
    <x:row r="10" ht="39.599998474121094" hidden="0" customHeight="1">
      <x:c r="A10" s="12" t="str">
        <x:v>7</x:v>
      </x:c>
      <x:c r="B10" s="12" t="str">
        <x:v>Calcified Digging Claw</x:v>
      </x:c>
      <x:c r="C10" s="12" t="str">
        <x:v>Calcified Digging Claw — Contingency</x:v>
      </x:c>
      <x:c r="D10" s="12" t="str">
        <x:v>calcifiedDiggingClawContingency</x:v>
      </x:c>
      <x:c r="E10" s="12" t="str">
        <x:v>consequenceReduction 3-&gt;4</x:v>
      </x:c>
      <x:c r="F10" s="12" t="str">
        <x:v>When a hunt or monster consequence is previewed, reduce it by 3; on retreat, preserve 1 gathered resource.</x:v>
      </x:c>
      <x:c r="G10" s="12" t="str">
        <x:v>When a hunt or monster consequence is previewed, reduce it by 4; on retreat, preserve 1 gathered resource.</x:v>
      </x:c>
      <x:c r="H10" s="12" t="str">
        <x:v>When a hunt event, retreat roll, or monster consequence is previewed, reduce the penalty by 3. If retreating, preserve 1 gathered resource. If you play a third attack this round, gain Panic 1.</x:v>
      </x:c>
      <x:c r="I10" s="12" t="str">
        <x:v>When a hunt event, retreat roll, or monster consequence is previewed, reduce the penalty by 4. If retreating, preserve 1 gathered resource. If you play a third attack this round, gain Panic 1.</x:v>
      </x:c>
    </x:row>
    <x:row r="11" ht="39.599998474121094" hidden="0" customHeight="1">
      <x:c r="A11" s="12" t="str">
        <x:v>8</x:v>
      </x:c>
      <x:c r="B11" s="12" t="str">
        <x:v>Spider Visage</x:v>
      </x:c>
      <x:c r="C11" s="12" t="str">
        <x:v>Spider Visage — Omen</x:v>
      </x:c>
      <x:c r="D11" s="12" t="str">
        <x:v>spiderVisageOmen</x:v>
      </x:c>
      <x:c r="E11" s="12" t="str">
        <x:v>added rider markedFocus</x:v>
      </x:c>
      <x:c r="F11" s="12" t="str">
        <x:v>Peek at the next quarry card or weak-point reward. You may mark it; if you do, gain Panic 1.</x:v>
      </x:c>
      <x:c r="G11" s="12" t="str">
        <x:v>Peek at the next quarry card or weak-point reward. You may mark it; if you do, gain Panic 1; If the quarry is Marked, draw 1 then discard 1.</x:v>
      </x:c>
      <x:c r="H11" s="12" t="str">
        <x:v>Peek at the next quarry AI, hit-location or weak-point reward, depending on screen. You may mark it. If marked, gain Panic 1. If played after blocking, your next Counter gains +2 damage.</x:v>
      </x:c>
      <x:c r="I11" s="12" t="str">
        <x:v>Peek at the next quarry AI, hit-location or weak-point reward, depending on screen. You may mark it. If marked, gain Panic 1. If played after blocking, your next Counter gains +2 damage. If the quarry is Marked, draw 1 then discard 1.</x:v>
      </x:c>
    </x:row>
    <x:row r="12" ht="26.399999618530273" hidden="0" customHeight="1">
      <x:c r="A12" s="12" t="str">
        <x:v>9</x:v>
      </x:c>
      <x:c r="B12" s="12" t="str">
        <x:v>Elder Fang Knife</x:v>
      </x:c>
      <x:c r="C12" s="12" t="str">
        <x:v>Elder Fang Knife — Technique</x:v>
      </x:c>
      <x:c r="D12" s="12" t="str">
        <x:v>elderFangKnifeTechnique</x:v>
      </x:c>
      <x:c r="E12" s="12" t="str">
        <x:v>block 1-&gt;2</x:v>
      </x:c>
      <x:c r="F12" s="12" t="str">
        <x:v>Expose a fragile weak point; next knife attack gains +2 break damage. Also gain 1 block.</x:v>
      </x:c>
      <x:c r="G12" s="12" t="str">
        <x:v>Expose a fragile weak point; next knife attack gains +2 break damage. Also gain 2 block.</x:v>
      </x:c>
      <x:c r="H12" s="12" t="str">
        <x:v>Expose a fragile weak point; next knife attack gains +2 break damage. Gain 1 block. If you deal no HP damage, gain +2 break damage.</x:v>
      </x:c>
      <x:c r="I12" s="12" t="str">
        <x:v>Expose a fragile weak point; next knife attack gains +2 break damage. gain 2 block. If you deal no HP damage, gain +2 break damage.</x:v>
      </x:c>
    </x:row>
    <x:row r="13" ht="26.399999618530273" hidden="0" customHeight="1">
      <x:c r="A13" s="12" t="str">
        <x:v>10</x:v>
      </x:c>
      <x:c r="B13" s="12" t="str">
        <x:v>Elder Fang Knife</x:v>
      </x:c>
      <x:c r="C13" s="12" t="str">
        <x:v>Elder Fang Knife — Payoff</x:v>
      </x:c>
      <x:c r="D13" s="12" t="str">
        <x:v>elderFangKnifePayoff</x:v>
      </x:c>
      <x:c r="E13" s="12" t="str">
        <x:v>damage 3-&gt;4</x:v>
      </x:c>
      <x:c r="F13" s="12" t="str">
        <x:v>Deal 3 damage and 1 break damage. If this breaks a weak point, resolve Bleed 1 and the careful rider.</x:v>
      </x:c>
      <x:c r="G13" s="12" t="str">
        <x:v>Deal 4 damage and 1 break damage. If this breaks a weak point, resolve Bleed 1 and the careful rider.</x:v>
      </x:c>
      <x:c r="H13" s="12" t="str">
        <x:v>Deal 3 damage and 1 break damage. If the weak point breaks, apply Bleed 1 and resolve: If you deal no HP damage, gain +2 break damage.</x:v>
      </x:c>
      <x:c r="I13" s="12" t="str">
        <x:v>Deal 4 damage and 1 break damage. If the weak point breaks, apply Bleed 1 and resolve: If you deal no HP damage, gain +2 break damage.</x:v>
      </x:c>
    </x:row>
    <x:row r="14" ht="26.399999618530273" hidden="0" customHeight="1">
      <x:c r="A14" s="12" t="str">
        <x:v>11</x:v>
      </x:c>
      <x:c r="B14" s="12" t="str">
        <x:v>Silver Harp</x:v>
      </x:c>
      <x:c r="C14" s="12" t="str">
        <x:v>Silver Harp — Technique</x:v>
      </x:c>
      <x:c r="D14" s="12" t="str">
        <x:v>silverHarpTechnique</x:v>
      </x:c>
      <x:c r="E14" s="12" t="str">
        <x:v>block 2-&gt;3</x:v>
      </x:c>
      <x:c r="F14" s="12" t="str">
        <x:v>Mark a wing, eye or distant weak point; ranged attacks ignore Guarded 1. Also gain 2 block.</x:v>
      </x:c>
      <x:c r="G14" s="12" t="str">
        <x:v>Mark a wing, eye or distant weak point; ranged attacks ignore Guarded 1. Also gain 3 block.</x:v>
      </x:c>
      <x:c r="H14" s="12" t="str">
        <x:v>Mark a wing, eye or distant weak point; ranged attacks ignore Guarded 1. Gain 2 block. The quarry targets this survivor next unless another card redirects it.</x:v>
      </x:c>
      <x:c r="I14" s="12" t="str">
        <x:v>Mark a wing, eye or distant weak point; ranged attacks ignore Guarded 1. gain 3 block. The quarry targets this survivor next unless another card redirects it.</x:v>
      </x:c>
    </x:row>
    <x:row r="15" ht="39.599998474121094" hidden="0" customHeight="1">
      <x:c r="A15" s="12" t="str">
        <x:v>12</x:v>
      </x:c>
      <x:c r="B15" s="12" t="str">
        <x:v>Eventide (Showdown Phase)</x:v>
      </x:c>
      <x:c r="C15" s="12" t="str">
        <x:v>Eventide (Showdown Phase) — Contingency</x:v>
      </x:c>
      <x:c r="D15" s="12" t="str">
        <x:v>eventideShowdownPhaseContingency</x:v>
      </x:c>
      <x:c r="E15" s="12" t="str">
        <x:v>consequenceReduction 3-&gt;4</x:v>
      </x:c>
      <x:c r="F15" s="12" t="str">
        <x:v>When a hunt or monster consequence is previewed, reduce it by 3; on retreat, preserve 1 gathered resource.</x:v>
      </x:c>
      <x:c r="G15" s="12" t="str">
        <x:v>When a hunt or monster consequence is previewed, reduce it by 4; on retreat, preserve 1 gathered resource.</x:v>
      </x:c>
      <x:c r="H15" s="12" t="str">
        <x:v>When a hunt event, retreat roll, or monster consequence is previewed, reduce the penalty by 3. If retreating, preserve 1 gathered resource. You may gain Panic 1 to increase the listed number by 2.</x:v>
      </x:c>
      <x:c r="I15" s="12" t="str">
        <x:v>When a hunt event, retreat roll, or monster consequence is previewed, reduce the penalty by 4. If retreating, preserve 1 gathered resource. You may gain Panic 1 to increase the listed number by 2.</x:v>
      </x:c>
    </x:row>
    <x:row r="16" ht="52.79999923706055" hidden="0" customHeight="1">
      <x:c r="A16" s="12" t="str">
        <x:v>13</x:v>
      </x:c>
      <x:c r="B16" s="12" t="str">
        <x:v>Pale Hunter Visage</x:v>
      </x:c>
      <x:c r="C16" s="12" t="str">
        <x:v>Pale Hunter Visage — Omen</x:v>
      </x:c>
      <x:c r="D16" s="12" t="str">
        <x:v>paleHunterVisageOmen</x:v>
      </x:c>
      <x:c r="E16" s="12" t="str">
        <x:v>added rider woundedEdge</x:v>
      </x:c>
      <x:c r="F16" s="12" t="str">
        <x:v>Peek at the next quarry card or weak-point reward. You may mark it; if you do, gain Panic 1.</x:v>
      </x:c>
      <x:c r="G16" s="12" t="str">
        <x:v>Peek at the next quarry card or weak-point reward. You may mark it; if you do, gain Panic 1; If you have any wound, add +1 break damage but gain Panic 1.</x:v>
      </x:c>
      <x:c r="H16" s="12" t="str">
        <x:v>Peek at the next quarry AI, hit-location or weak-point reward, depending on screen. You may mark it. If marked, gain Panic 1. If you have any wound, add +1 damage but gain Panic 1.</x:v>
      </x:c>
      <x:c r="I16" s="12" t="str">
        <x:v>Peek at the next quarry AI, hit-location or weak-point reward, depending on screen. You may mark it. If marked, gain Panic 1. If you have any wound, add +1 damage but gain Panic 1. If you have any wound, add +1 break damage but gain Panic 1.</x:v>
      </x:c>
    </x:row>
    <x:row r="17" ht="26.399999618530273" hidden="0" customHeight="1">
      <x:c r="A17" s="12" t="str">
        <x:v>14</x:v>
      </x:c>
      <x:c r="B17" s="12" t="str">
        <x:v>Hooked Claw Knife</x:v>
      </x:c>
      <x:c r="C17" s="12" t="str">
        <x:v>Hooked Claw Knife — Technique</x:v>
      </x:c>
      <x:c r="D17" s="12" t="str">
        <x:v>hookedClawKnifeTechnique</x:v>
      </x:c>
      <x:c r="E17" s="12" t="str">
        <x:v>block 3-&gt;4</x:v>
      </x:c>
      <x:c r="F17" s="12" t="str">
        <x:v>Expose a fragile weak point; next knife attack gains +2 break damage. Also gain 3 block.</x:v>
      </x:c>
      <x:c r="G17" s="12" t="str">
        <x:v>Expose a fragile weak point; next knife attack gains +2 break damage. Also gain 4 block.</x:v>
      </x:c>
      <x:c r="H17" s="12" t="str">
        <x:v>Expose a fragile weak point; next knife attack gains +2 break damage. Gain 3 block. If used on a hunt node, also mark one gathered resource as confirmed.</x:v>
      </x:c>
      <x:c r="I17" s="12" t="str">
        <x:v>Expose a fragile weak point; next knife attack gains +2 break damage. gain 4 block. If used on a hunt node, also mark one gathered resource as confirmed.</x:v>
      </x:c>
    </x:row>
    <x:row r="18" ht="39.599998474121094" hidden="0" customHeight="1">
      <x:c r="A18" s="12" t="str">
        <x:v>15</x:v>
      </x:c>
      <x:c r="B18" s="12" t="str">
        <x:v>Rolling Armor Set</x:v>
      </x:c>
      <x:c r="C18" s="12" t="str">
        <x:v>Rolling Armor Set — Brace</x:v>
      </x:c>
      <x:c r="D18" s="12" t="str">
        <x:v>rollingArmorSetBrace</x:v>
      </x:c>
      <x:c r="E18" s="12" t="str">
        <x:v>block 3-&gt;4</x:v>
      </x:c>
      <x:c r="F18" s="12" t="str">
        <x:v>Gain 3 block and Guarded 3. If hit before your next turn, reduce Shock or Panic by 1.</x:v>
      </x:c>
      <x:c r="G18" s="12" t="str">
        <x:v>gain 4 block and Guarded 3. If hit before your next turn, reduce Shock or Panic by 1.</x:v>
      </x:c>
      <x:c r="H18" s="12" t="str">
        <x:v>Gain 3 block and Guarded 3. If the next monster hit lands before your next turn, reduce Shock or Panic by 1 after damage. If this would drop you to 0 HP, resolve the card first, then die if still at 0 HP.</x:v>
      </x:c>
      <x:c r="I18" s="12" t="str">
        <x:v>gain 4 block and Guarded 3. If the next monster hit lands before your next turn, reduce Shock or Panic by 1 after damage. If this would drop you to 0 HP, resolve the card first, then die if still at 0 HP.</x:v>
      </x:c>
    </x:row>
    <x:row r="19" ht="39.599998474121094" hidden="0" customHeight="1">
      <x:c r="A19" s="12" t="str">
        <x:v>16</x:v>
      </x:c>
      <x:c r="B19" s="12" t="str">
        <x:v>Gorment Armor Set</x:v>
      </x:c>
      <x:c r="C19" s="12" t="str">
        <x:v>Gorment Armor Set — Brace</x:v>
      </x:c>
      <x:c r="D19" s="12" t="str">
        <x:v>gormentArmorSetBrace</x:v>
      </x:c>
      <x:c r="E19" s="12" t="str">
        <x:v>block 4-&gt;5</x:v>
      </x:c>
      <x:c r="F19" s="12" t="str">
        <x:v>Gain 4 block and Guarded 3. If hit before your next turn, reduce Poison or Panic by 1.</x:v>
      </x:c>
      <x:c r="G19" s="12" t="str">
        <x:v>gain 5 block and Guarded 3. If hit before your next turn, reduce Poison or Panic by 1.</x:v>
      </x:c>
      <x:c r="H19" s="12" t="str">
        <x:v>Gain 4 block and Guarded 3. If the next monster hit lands before your next turn, reduce Poison or Panic by 1 after damage. Chosen ally gains Guarded 1 after this resolves.</x:v>
      </x:c>
      <x:c r="I19" s="12" t="str">
        <x:v>gain 5 block and Guarded 3. If the next monster hit lands before your next turn, reduce Poison or Panic by 1 after damage. Chosen ally gains Guarded 1 after this resolves.</x:v>
      </x:c>
    </x:row>
    <x:row r="20" ht="39.599998474121094" hidden="0" customHeight="1">
      <x:c r="A20" s="12" t="str">
        <x:v>17</x:v>
      </x:c>
      <x:c r="B20" s="12" t="str">
        <x:v>Gorment Visage</x:v>
      </x:c>
      <x:c r="C20" s="12" t="str">
        <x:v>Gorment Visage — Omen</x:v>
      </x:c>
      <x:c r="D20" s="12" t="str">
        <x:v>gormentVisageOmen</x:v>
      </x:c>
      <x:c r="E20" s="12" t="str">
        <x:v>added rider panicBrake</x:v>
      </x:c>
      <x:c r="F20" s="12" t="str">
        <x:v>Peek at the next quarry card or weak-point reward. You may mark it; if you do, gain Panic 1.</x:v>
      </x:c>
      <x:c r="G20" s="12" t="str">
        <x:v>Peek at the next quarry card or weak-point reward. You may mark it; if you do, gain Panic 1; You may gain Panic 1 to increase one listed value by 1.</x:v>
      </x:c>
      <x:c r="H20" s="12" t="str">
        <x:v>Peek at the next quarry AI, hit-location or weak-point reward, depending on screen. You may mark it. If marked, gain Panic 1. If this is the only card you play this turn, gain +2 block.</x:v>
      </x:c>
      <x:c r="I20" s="12" t="str">
        <x:v>Peek at the next quarry AI, hit-location or weak-point reward, depending on screen. You may mark it. If marked, gain Panic 1. If this is the only card you play this turn, gain +2 block. You may gain Panic 1 to increase one listed value by 1.</x:v>
      </x:c>
    </x:row>
    <x:row r="21" ht="52.79999923706055" hidden="0" customHeight="1">
      <x:c r="A21" s="12" t="str">
        <x:v>18</x:v>
      </x:c>
      <x:c r="B21" s="12" t="str">
        <x:v>Elder Earrings</x:v>
      </x:c>
      <x:c r="C21" s="12" t="str">
        <x:v>Elder Earrings — Omen</x:v>
      </x:c>
      <x:c r="D21" s="12" t="str">
        <x:v>elderEarringsOmen</x:v>
      </x:c>
      <x:c r="E21" s="12" t="str">
        <x:v>added rider guardedAlly</x:v>
      </x:c>
      <x:c r="F21" s="12" t="str">
        <x:v>Peek at the next quarry card or weak-point reward. You may mark it; if you do, gain Panic 1.</x:v>
      </x:c>
      <x:c r="G21" s="12" t="str">
        <x:v>Peek at the next quarry card or weak-point reward. You may mark it; if you do, gain Panic 1; After this resolves, one adjacent ally gains Guarded 1.</x:v>
      </x:c>
      <x:c r="H21" s="12" t="str">
        <x:v>Peek at the next quarry AI, hit-location or weak-point reward, depending on screen. You may mark it. If marked, gain Panic 1. If you already played an attack this turn, add +1 damage or +1 block.</x:v>
      </x:c>
      <x:c r="I21" s="12" t="str">
        <x:v>Peek at the next quarry AI, hit-location or weak-point reward, depending on screen. You may mark it. If marked, gain Panic 1. If you already played an attack this turn, add +1 damage or +1 block. After this resolves, one adjacent ally gains Guarded 1.</x:v>
      </x:c>
    </x:row>
    <x:row r="22" ht="26.399999618530273" hidden="0" customHeight="1">
      <x:c r="A22" s="12" t="str">
        <x:v>19</x:v>
      </x:c>
      <x:c r="B22" s="12" t="str">
        <x:v>Vespertine Bow</x:v>
      </x:c>
      <x:c r="C22" s="12" t="str">
        <x:v>Vespertine Bow — Technique</x:v>
      </x:c>
      <x:c r="D22" s="12" t="str">
        <x:v>vespertineBowTechnique</x:v>
      </x:c>
      <x:c r="E22" s="12" t="str">
        <x:v>block 4-&gt;5</x:v>
      </x:c>
      <x:c r="F22" s="12" t="str">
        <x:v>Mark a wing, eye or distant weak point; ranged attacks ignore Guarded 1. Also gain 4 block.</x:v>
      </x:c>
      <x:c r="G22" s="12" t="str">
        <x:v>Mark a wing, eye or distant weak point; ranged attacks ignore Guarded 1. Also gain 5 block.</x:v>
      </x:c>
      <x:c r="H22" s="12" t="str">
        <x:v>Mark a wing, eye or distant weak point; ranged attacks ignore Guarded 1. Gain 4 block. Chosen ally gains Guarded 1 after this resolves.</x:v>
      </x:c>
      <x:c r="I22" s="12" t="str">
        <x:v>Mark a wing, eye or distant weak point; ranged attacks ignore Guarded 1. gain 5 block. Chosen ally gains Guarded 1 after this resolves.</x:v>
      </x:c>
    </x:row>
    <x:row r="23" ht="39.599998474121094" hidden="0" customHeight="1">
      <x:c r="A23" s="12" t="str">
        <x:v>20</x:v>
      </x:c>
      <x:c r="B23" s="12" t="str">
        <x:v>Gloom Sheath</x:v>
      </x:c>
      <x:c r="C23" s="12" t="str">
        <x:v>Gloom Sheath — Contingency</x:v>
      </x:c>
      <x:c r="D23" s="12" t="str">
        <x:v>gloomSheathContingency</x:v>
      </x:c>
      <x:c r="E23" s="12" t="str">
        <x:v>consequenceReduction 2-&gt;3</x:v>
      </x:c>
      <x:c r="F23" s="12" t="str">
        <x:v>When a hunt or monster consequence is previewed, reduce it by 2; on retreat, preserve 1 gathered resource.</x:v>
      </x:c>
      <x:c r="G23" s="12" t="str">
        <x:v>When a hunt or monster consequence is previewed, reduce it by 3; on retreat, preserve 1 gathered resource.</x:v>
      </x:c>
      <x:c r="H23" s="12" t="str">
        <x:v>When a hunt event, retreat roll, or monster consequence is previewed, reduce the penalty by 2. If retreating, preserve 1 gathered resource. If used on a hunt node, also mark one gathered resource as confirmed.</x:v>
      </x:c>
      <x:c r="I23" s="12" t="str">
        <x:v>When a hunt event, retreat roll, or monster consequence is previewed, reduce the penalty by 3. If retreating, preserve 1 gathered resource. If used on a hunt node, also mark one gathered resource as confirmed.</x:v>
      </x:c>
    </x:row>
    <x:row r="24" ht="39.599998474121094" hidden="0" customHeight="1">
      <x:c r="A24" s="12" t="str">
        <x:v>21</x:v>
      </x:c>
      <x:c r="B24" s="12" t="str">
        <x:v>Lantern Greaves</x:v>
      </x:c>
      <x:c r="C24" s="12" t="str">
        <x:v>Lantern Greaves — Fitted Plate</x:v>
      </x:c>
      <x:c r="D24" s="12" t="str">
        <x:v>lanternGreavesFittedPlate</x:v>
      </x:c>
      <x:c r="E24" s="12" t="str">
        <x:v>block 5-&gt;6</x:v>
      </x:c>
      <x:c r="F24" s="12" t="str">
        <x:v>After damage is previewed, prevent 5 damage. Then give the next ally Guarded 1.</x:v>
      </x:c>
      <x:c r="G24" s="12" t="str">
        <x:v>After damage is previewed, prevent 6 damage. Then give the next ally Guarded 1.</x:v>
      </x:c>
      <x:c r="H24" s="12" t="str">
        <x:v>After incoming damage is previewed, prevent 5 damage with the legs slot. Then the next ally gains Guarded 1. On a failed harvest, keep one common fallback material.</x:v>
      </x:c>
      <x:c r="I24" s="12" t="str">
        <x:v>After incoming damage is previewed, prevent 6 damage with the legs slot. Then the next ally gains Guarded 1. On a failed harvest, keep one common fallback material.</x:v>
      </x:c>
    </x:row>
    <x:row r="25" ht="39.599998474121094" hidden="0" customHeight="1">
      <x:c r="A25" s="12" t="str">
        <x:v>22</x:v>
      </x:c>
      <x:c r="B25" s="12" t="str">
        <x:v>Ink Bagpipes (Showdown Phase)</x:v>
      </x:c>
      <x:c r="C25" s="12" t="str">
        <x:v>Ink Bagpipes (Showdown Phase) — Contingency</x:v>
      </x:c>
      <x:c r="D25" s="12" t="str">
        <x:v>inkBagpipesShowdownPhaseContingency</x:v>
      </x:c>
      <x:c r="E25" s="12" t="str">
        <x:v>consequenceReduction 2-&gt;3</x:v>
      </x:c>
      <x:c r="F25" s="12" t="str">
        <x:v>When a hunt or monster consequence is previewed, reduce it by 2; on retreat, preserve 1 gathered resource.</x:v>
      </x:c>
      <x:c r="G25" s="12" t="str">
        <x:v>When a hunt or monster consequence is previewed, reduce it by 3; on retreat, preserve 1 gathered resource.</x:v>
      </x:c>
      <x:c r="H25" s="12" t="str">
        <x:v>When a hunt event, retreat roll, or monster consequence is previewed, reduce the penalty by 2. If retreating, preserve 1 gathered resource. If the quarry is Marked, draw 1 then discard 1.</x:v>
      </x:c>
      <x:c r="I25" s="12" t="str">
        <x:v>When a hunt event, retreat roll, or monster consequence is previewed, reduce the penalty by 3. If retreating, preserve 1 gathered resource. If the quarry is Marked, draw 1 then discard 1.</x:v>
      </x:c>
    </x:row>
    <x:row r="26" ht="39.599998474121094" hidden="0" customHeight="1">
      <x:c r="A26" s="12" t="str">
        <x:v>23</x:v>
      </x:c>
      <x:c r="B26" s="12" t="str">
        <x:v>Vespertine Foil</x:v>
      </x:c>
      <x:c r="C26" s="12" t="str">
        <x:v>Vespertine Foil — Contingency</x:v>
      </x:c>
      <x:c r="D26" s="12" t="str">
        <x:v>vespertineFoilContingency</x:v>
      </x:c>
      <x:c r="E26" s="12" t="str">
        <x:v>consequenceReduction 3-&gt;4</x:v>
      </x:c>
      <x:c r="F26" s="12" t="str">
        <x:v>When a hunt or monster consequence is previewed, reduce it by 3; on retreat, preserve 1 gathered resource.</x:v>
      </x:c>
      <x:c r="G26" s="12" t="str">
        <x:v>When a hunt or monster consequence is previewed, reduce it by 4; on retreat, preserve 1 gathered resource.</x:v>
      </x:c>
      <x:c r="H26" s="12" t="str">
        <x:v>When a hunt event, retreat roll, or monster consequence is previewed, reduce the penalty by 3. If retreating, preserve 1 gathered resource. If this would drop you to 0 HP, resolve the card first, then die if still at 0 HP.</x:v>
      </x:c>
      <x:c r="I26" s="12" t="str">
        <x:v>When a hunt event, retreat roll, or monster consequence is previewed, reduce the penalty by 4. If retreating, preserve 1 gathered resource. If this would drop you to 0 HP, resolve the card first, then die if still at 0 HP.</x:v>
      </x:c>
    </x:row>
    <x:row r="27" ht="39.599998474121094" hidden="0" customHeight="1">
      <x:c r="A27" s="12" t="str">
        <x:v>24</x:v>
      </x:c>
      <x:c r="B27" s="12" t="str">
        <x:v>Rose Knight Badge</x:v>
      </x:c>
      <x:c r="C27" s="12" t="str">
        <x:v>Rose Knight Badge — Omen</x:v>
      </x:c>
      <x:c r="D27" s="12" t="str">
        <x:v>roseKnightBadgeOmen</x:v>
      </x:c>
      <x:c r="E27" s="12" t="str">
        <x:v>added rider markedFocus</x:v>
      </x:c>
      <x:c r="F27" s="12" t="str">
        <x:v>Peek at the next quarry card or weak-point reward. You may mark it; if you do, gain Panic 1.</x:v>
      </x:c>
      <x:c r="G27" s="12" t="str">
        <x:v>Peek at the next quarry card or weak-point reward. You may mark it; if you do, gain Panic 1; If the quarry is Marked, draw 1 then discard 1.</x:v>
      </x:c>
      <x:c r="H27" s="12" t="str">
        <x:v>Peek at the next quarry AI, hit-location or weak-point reward, depending on screen. You may mark it. If marked, gain Panic 1. If the quarry is Marked, draw 1 then discard 1.</x:v>
      </x:c>
      <x:c r="I27" s="12" t="str">
        <x:v>Peek at the next quarry AI, hit-location or weak-point reward, depending on screen. You may mark it. If marked, gain Panic 1. If the quarry is Marked, draw 1 then discard 1. If the quarry is Marked, draw 1 then discard 1.</x:v>
      </x:c>
    </x:row>
    <x:row r="28" ht="39.599998474121094" hidden="0" customHeight="1">
      <x:c r="A28" s="12" t="str">
        <x:v>25</x:v>
      </x:c>
      <x:c r="B28" s="12" t="str">
        <x:v>Shadow Saliva Shawl</x:v>
      </x:c>
      <x:c r="C28" s="12" t="str">
        <x:v>Shadow Saliva Shawl — Contingency</x:v>
      </x:c>
      <x:c r="D28" s="12" t="str">
        <x:v>shadowSalivaShawlContingency</x:v>
      </x:c>
      <x:c r="E28" s="12" t="str">
        <x:v>consequenceReduction 2-&gt;3</x:v>
      </x:c>
      <x:c r="F28" s="12" t="str">
        <x:v>When a hunt or monster consequence is previewed, reduce it by 2; on retreat, preserve 1 gathered resource.</x:v>
      </x:c>
      <x:c r="G28" s="12" t="str">
        <x:v>When a hunt or monster consequence is previewed, reduce it by 3; on retreat, preserve 1 gathered resource.</x:v>
      </x:c>
      <x:c r="H28" s="12" t="str">
        <x:v>When a hunt event, retreat roll, or monster consequence is previewed, reduce the penalty by 2. If retreating, preserve 1 gathered resource. If this is the only card you play this turn, gain +2 block.</x:v>
      </x:c>
      <x:c r="I28" s="12" t="str">
        <x:v>When a hunt event, retreat roll, or monster consequence is previewed, reduce the penalty by 3. If retreating, preserve 1 gathered resource. If this is the only card you play this turn, gain +2 block.</x:v>
      </x:c>
    </x:row>
    <x:row r="29" ht="26.399999618530273" hidden="0" customHeight="1">
      <x:c r="A29" s="12" t="str">
        <x:v>26</x:v>
      </x:c>
      <x:c r="B29" s="12" t="str">
        <x:v>Vespertine Arrow</x:v>
      </x:c>
      <x:c r="C29" s="12" t="str">
        <x:v>Vespertine Arrow — Technique</x:v>
      </x:c>
      <x:c r="D29" s="12" t="str">
        <x:v>vespertineArrowTechnique</x:v>
      </x:c>
      <x:c r="E29" s="12" t="str">
        <x:v>block 3-&gt;4</x:v>
      </x:c>
      <x:c r="F29" s="12" t="str">
        <x:v>Mark a wing, eye or distant weak point; ranged attacks ignore Guarded 1. Also gain 3 block.</x:v>
      </x:c>
      <x:c r="G29" s="12" t="str">
        <x:v>Mark a wing, eye or distant weak point; ranged attacks ignore Guarded 1. Also gain 4 block.</x:v>
      </x:c>
      <x:c r="H29" s="12" t="str">
        <x:v>Mark a wing, eye or distant weak point; ranged attacks ignore Guarded 1. Gain 3 block. You may gain Panic 1 to increase the listed number by 2.</x:v>
      </x:c>
      <x:c r="I29" s="12" t="str">
        <x:v>Mark a wing, eye or distant weak point; ranged attacks ignore Guarded 1. gain 4 block. You may gain Panic 1 to increase the listed number by 2.</x:v>
      </x:c>
    </x:row>
    <x:row r="30" ht="26.399999618530273" hidden="0" customHeight="1">
      <x:c r="A30" s="12" t="str">
        <x:v>27</x:v>
      </x:c>
      <x:c r="B30" s="12" t="str">
        <x:v>Shaxe</x:v>
      </x:c>
      <x:c r="C30" s="12" t="str">
        <x:v>Shaxe — Technique</x:v>
      </x:c>
      <x:c r="D30" s="12" t="str">
        <x:v>shaxeTechnique</x:v>
      </x:c>
      <x:c r="E30" s="12" t="str">
        <x:v>block 2-&gt;3</x:v>
      </x:c>
      <x:c r="F30" s="12" t="str">
        <x:v>Commit to a heavy chop; +3 break damage but failed fragile harvests worsen by one step. Also gain 2 block.</x:v>
      </x:c>
      <x:c r="G30" s="12" t="str">
        <x:v>Commit to a heavy chop; +3 break damage but failed fragile harvests worsen by one step. Also gain 3 block.</x:v>
      </x:c>
      <x:c r="H30" s="12" t="str">
        <x:v>Commit to a heavy chop; +3 break damage but failed fragile harvests worsen by one step. Gain 2 block. If you have any wound, add +1 damage but gain Panic 1.</x:v>
      </x:c>
      <x:c r="I30" s="12" t="str">
        <x:v>Commit to a heavy chop; +3 break damage but failed fragile harvests worsen by one step. gain 3 block. If you have any wound, add +1 damage but gain Panic 1.</x:v>
      </x:c>
    </x:row>
    <x:row r="31" ht="26.399999618530273" hidden="0" customHeight="1">
      <x:c r="A31" s="12" t="str">
        <x:v>27</x:v>
      </x:c>
      <x:c r="B31" s="12" t="str">
        <x:v>Xmaxe</x:v>
      </x:c>
      <x:c r="C31" s="12" t="str">
        <x:v>Xmaxe — Technique</x:v>
      </x:c>
      <x:c r="D31" s="12" t="str">
        <x:v>xmaxeTechnique</x:v>
      </x:c>
      <x:c r="E31" s="12" t="str">
        <x:v>block 2-&gt;4</x:v>
      </x:c>
      <x:c r="F31" s="12" t="str">
        <x:v>Commit to a heavy chop; +3 break damage but failed fragile harvests worsen by one step. Also gain 2 block.</x:v>
      </x:c>
      <x:c r="G31" s="12" t="str">
        <x:v>Commit to a heavy chop; +3 break damage but failed fragile harvests worsen by one step. Also gain 4 block.</x:v>
      </x:c>
      <x:c r="H31" s="12" t="str">
        <x:v>Commit to a heavy chop; +3 break damage but failed fragile harvests worsen by one step. Gain 2 block. If you have any wound, add +1 damage but gain Panic 1.</x:v>
      </x:c>
      <x:c r="I31" s="12" t="str">
        <x:v>Commit to a heavy chop; +3 break damage but failed fragile harvests worsen by one step. gain 4 block. If you have any wound, add +1 damage but gain Panic 1.</x:v>
      </x:c>
    </x:row>
    <x:row r="32" ht="26.399999618530273" hidden="0" customHeight="1">
      <x:c r="A32" s="12" t="str">
        <x:v>28</x:v>
      </x:c>
      <x:c r="B32" s="12" t="str">
        <x:v>Shaxe</x:v>
      </x:c>
      <x:c r="C32" s="12" t="str">
        <x:v>Shaxe — Payoff</x:v>
      </x:c>
      <x:c r="D32" s="12" t="str">
        <x:v>shaxePayoff</x:v>
      </x:c>
      <x:c r="E32" s="12" t="str">
        <x:v>damage 7-&gt;8</x:v>
      </x:c>
      <x:c r="F32" s="12" t="str">
        <x:v>Deal 7 damage and 4 break damage. If this breaks a weak point, resolve Bleed 1 and the wounded rider.</x:v>
      </x:c>
      <x:c r="G32" s="12" t="str">
        <x:v>Deal 8 damage and 4 break damage. If this breaks a weak point, resolve Bleed 1 and the wounded rider.</x:v>
      </x:c>
      <x:c r="H32" s="12" t="str">
        <x:v>Deal 7 damage and 4 break damage. If the weak point breaks, apply Bleed 1 and resolve: If you have any wound, add +1 damage but gain Panic 1.</x:v>
      </x:c>
      <x:c r="I32" s="12" t="str">
        <x:v>Deal 8 damage and 4 break damage. If the weak point breaks, apply Bleed 1 and resolve: If you have any wound, add +1 damage but gain Panic 1.</x:v>
      </x:c>
    </x:row>
    <x:row r="33" ht="52.79999923706055" hidden="0" customHeight="1">
      <x:c r="A33" s="12" t="str">
        <x:v>29</x:v>
      </x:c>
      <x:c r="B33" s="12" t="str">
        <x:v>Web Eye Wreath</x:v>
      </x:c>
      <x:c r="C33" s="12" t="str">
        <x:v>Web Eye Wreath — Omen</x:v>
      </x:c>
      <x:c r="D33" s="12" t="str">
        <x:v>webEyeWreathOmen</x:v>
      </x:c>
      <x:c r="E33" s="12" t="str">
        <x:v>added rider woundedEdge</x:v>
      </x:c>
      <x:c r="F33" s="12" t="str">
        <x:v>Peek at the next quarry card or weak-point reward. You may mark it; if you do, gain Panic 1.</x:v>
      </x:c>
      <x:c r="G33" s="12" t="str">
        <x:v>Peek at the next quarry card or weak-point reward. You may mark it; if you do, gain Panic 1; If you have any wound, add +1 break damage but gain Panic 1.</x:v>
      </x:c>
      <x:c r="H33" s="12" t="str">
        <x:v>Peek at the next quarry AI, hit-location or weak-point reward, depending on screen. You may mark it. If marked, gain Panic 1. The quarry targets this survivor next unless another card redirects it.</x:v>
      </x:c>
      <x:c r="I33" s="12" t="str">
        <x:v>Peek at the next quarry AI, hit-location or weak-point reward, depending on screen. You may mark it. If marked, gain Panic 1. The quarry targets this survivor next unless another card redirects it. If you have any wound, add +1 break damage but gain Panic 1.</x:v>
      </x:c>
    </x:row>
    <x:row r="34" ht="39.599998474121094" hidden="0" customHeight="1">
      <x:c r="A34" s="12" t="str">
        <x:v>30</x:v>
      </x:c>
      <x:c r="B34" s="12" t="str">
        <x:v>The Three</x:v>
      </x:c>
      <x:c r="C34" s="12" t="str">
        <x:v>The Three — Contingency</x:v>
      </x:c>
      <x:c r="D34" s="12" t="str">
        <x:v>theThreeContingency</x:v>
      </x:c>
      <x:c r="E34" s="12" t="str">
        <x:v>consequenceReduction 3-&gt;4</x:v>
      </x:c>
      <x:c r="F34" s="12" t="str">
        <x:v>When a hunt or monster consequence is previewed, reduce it by 3; on retreat, preserve 2 gathered resource.</x:v>
      </x:c>
      <x:c r="G34" s="12" t="str">
        <x:v>When a hunt or monster consequence is previewed, reduce it by 4; on retreat, preserve 2 gathered resource.</x:v>
      </x:c>
      <x:c r="H34" s="12" t="str">
        <x:v>When a hunt event, retreat roll, or monster consequence is previewed, reduce the penalty by 3. If retreating, preserve 2 gathered resource. If a tell is Open, add +2 to the listed damage or block value.</x:v>
      </x:c>
      <x:c r="I34" s="12" t="str">
        <x:v>When a hunt event, retreat roll, or monster consequence is previewed, reduce the penalty by 4. If retreating, preserve 2 gathered resource. If a tell is Open, add +2 to the listed damage or block value.</x:v>
      </x:c>
    </x:row>
    <x:row r="35" ht="39.599998474121094" hidden="0" customHeight="1">
      <x:c r="A35" s="12" t="str">
        <x:v>31</x:v>
      </x:c>
      <x:c r="B35" s="12" t="str">
        <x:v>Pale Hunter Treads</x:v>
      </x:c>
      <x:c r="C35" s="12" t="str">
        <x:v>Pale Hunter Treads — Fitted Plate</x:v>
      </x:c>
      <x:c r="D35" s="12" t="str">
        <x:v>paleHunterTreadsFittedPlate</x:v>
      </x:c>
      <x:c r="E35" s="12" t="str">
        <x:v>block 6-&gt;7</x:v>
      </x:c>
      <x:c r="F35" s="12" t="str">
        <x:v>After damage is previewed, prevent 6 damage. Then give the next ally Guarded 1.</x:v>
      </x:c>
      <x:c r="G35" s="12" t="str">
        <x:v>After damage is previewed, prevent 7 damage. Then give the next ally Guarded 1.</x:v>
      </x:c>
      <x:c r="H35" s="12" t="str">
        <x:v>After incoming damage is previewed, prevent 6 damage with the legs slot. Then the next ally gains Guarded 1. If you have no Bleed, Poison or Burn, add +1 to all listed values.</x:v>
      </x:c>
      <x:c r="I35" s="12" t="str">
        <x:v>After incoming damage is previewed, prevent 7 damage with the legs slot. Then the next ally gains Guarded 1. If you have no Bleed, Poison or Burn, add +1 to all listed values.</x:v>
      </x:c>
    </x:row>
    <x:row r="36" ht="39.599998474121094" hidden="0" customHeight="1">
      <x:c r="A36" s="12" t="str">
        <x:v>32</x:v>
      </x:c>
      <x:c r="B36" s="12" t="str">
        <x:v>Pale Hunter Skirt</x:v>
      </x:c>
      <x:c r="C36" s="12" t="str">
        <x:v>Pale Hunter Skirt — Brace</x:v>
      </x:c>
      <x:c r="D36" s="12" t="str">
        <x:v>paleHunterSkirtBrace</x:v>
      </x:c>
      <x:c r="E36" s="12" t="str">
        <x:v>block 2-&gt;3</x:v>
      </x:c>
      <x:c r="F36" s="12" t="str">
        <x:v>Gain 2 block and Guarded 3. If hit before your next turn, reduce Bleed or Panic by 1.</x:v>
      </x:c>
      <x:c r="G36" s="12" t="str">
        <x:v>gain 3 block and Guarded 3. If hit before your next turn, reduce Bleed or Panic by 1.</x:v>
      </x:c>
      <x:c r="H36" s="12" t="str">
        <x:v>Gain 2 block and Guarded 3. If the next monster hit lands before your next turn, reduce Bleed or Panic by 1 after damage. If the quarry is Marked, draw 1 then discard 1.</x:v>
      </x:c>
      <x:c r="I36" s="12" t="str">
        <x:v>gain 3 block and Guarded 3. If the next monster hit lands before your next turn, reduce Bleed or Panic by 1 after damage. If the quarry is Marked, draw 1 then discard 1.</x:v>
      </x:c>
    </x:row>
    <x:row r="37" ht="26.399999618530273" hidden="0" customHeight="1">
      <x:c r="A37" s="12" t="str">
        <x:v>33</x:v>
      </x:c>
      <x:c r="B37" s="12" t="str">
        <x:v>Throwing Knife</x:v>
      </x:c>
      <x:c r="C37" s="12" t="str">
        <x:v>Throwing Knife — Technique</x:v>
      </x:c>
      <x:c r="D37" s="12" t="str">
        <x:v>throwingKnifeTechnique</x:v>
      </x:c>
      <x:c r="E37" s="12" t="str">
        <x:v>block 2-&gt;3</x:v>
      </x:c>
      <x:c r="F37" s="12" t="str">
        <x:v>Mark a wing, eye or distant weak point; ranged attacks ignore Guarded 1. Also gain 2 block.</x:v>
      </x:c>
      <x:c r="G37" s="12" t="str">
        <x:v>Mark a wing, eye or distant weak point; ranged attacks ignore Guarded 1. Also gain 3 block.</x:v>
      </x:c>
      <x:c r="H37" s="12" t="str">
        <x:v>Mark a wing, eye or distant weak point; ranged attacks ignore Guarded 1. Gain 2 block. If the quarry is Marked, draw 1 then discard 1.</x:v>
      </x:c>
      <x:c r="I37" s="12" t="str">
        <x:v>Mark a wing, eye or distant weak point; ranged attacks ignore Guarded 1. gain 3 block. If the quarry is Marked, draw 1 then discard 1.</x:v>
      </x:c>
    </x:row>
    <x:row r="38" ht="52.79999923706055" hidden="0" customHeight="1">
      <x:c r="A38" s="12" t="str">
        <x:v>1000</x:v>
      </x:c>
      <x:c r="B38" s="12" t="str">
        <x:v>Skleaver</x:v>
      </x:c>
      <x:c r="C38" s="12" t="str">
        <x:v>Skleaver — Contingency</x:v>
      </x:c>
      <x:c r="D38" s="12" t="str">
        <x:v>skleaverContingency</x:v>
      </x:c>
      <x:c r="E38" s="12" t="str">
        <x:v>second pass added rider markedFocus</x:v>
      </x:c>
      <x:c r="F38" s="12" t="str"/>
      <x:c r="G38" s="12" t="str">
        <x:v>When a hunt or monster consequence is previewed, reduce it by 4; on retreat, preserve 1 gathered resource; If the quarry is Marked, draw 1 then discard 1.</x:v>
      </x:c>
      <x:c r="H38" s="12" t="str"/>
      <x:c r="I38" s="12" t="str">
        <x:v>When a hunt event, retreat roll, or monster consequence is previewed, reduce the penalty by 4. If retreating, preserve 1 gathered resource. You may gain Panic 1 to increase the listed number by 2. If the quarry is Marked, draw 1 then discard 1.</x:v>
      </x:c>
    </x:row>
    <x:row r="39" ht="52.79999923706055" hidden="0" customHeight="1">
      <x:c r="A39" s="12" t="str">
        <x:v>1001</x:v>
      </x:c>
      <x:c r="B39" s="12" t="str">
        <x:v>Shadow Saliva Shawl</x:v>
      </x:c>
      <x:c r="C39" s="12" t="str">
        <x:v>Shadow Saliva Shawl — Contingency</x:v>
      </x:c>
      <x:c r="D39" s="12" t="str">
        <x:v>shadowSalivaShawlContingency</x:v>
      </x:c>
      <x:c r="E39" s="12" t="str">
        <x:v>second pass added rider panicBrake</x:v>
      </x:c>
      <x:c r="F39" s="12" t="str"/>
      <x:c r="G39" s="12" t="str">
        <x:v>When a hunt or monster consequence is previewed, reduce it by 3; on retreat, preserve 1 gathered resource; You may gain Panic 1 to increase one listed value by 1.</x:v>
      </x:c>
      <x:c r="H39" s="12" t="str"/>
      <x:c r="I39" s="12" t="str">
        <x:v>When a hunt event, retreat roll, or monster consequence is previewed, reduce the penalty by 3. If retreating, preserve 1 gathered resource. If this is the only card you play this turn, gain +2 block. You may gain Panic 1 to increase one listed value by 1.</x:v>
      </x:c>
    </x:row>
    <x:row r="40" ht="52.79999923706055" hidden="0" customHeight="1">
      <x:c r="A40" s="12" t="str">
        <x:v>1002</x:v>
      </x:c>
      <x:c r="B40" s="12" t="str">
        <x:v>Raptor-Worm Collar</x:v>
      </x:c>
      <x:c r="C40" s="12" t="str">
        <x:v>Raptor-Worm Collar — Contingency</x:v>
      </x:c>
      <x:c r="D40" s="12" t="str">
        <x:v>raptorWormCollarContingency</x:v>
      </x:c>
      <x:c r="E40" s="12" t="str">
        <x:v>second pass added rider guardedAlly</x:v>
      </x:c>
      <x:c r="F40" s="12" t="str"/>
      <x:c r="G40" s="12" t="str">
        <x:v>When a hunt or monster consequence is previewed, reduce it by 3; on retreat, preserve 1 gathered resource; After this resolves, one adjacent ally gains Guarded 1.</x:v>
      </x:c>
      <x:c r="H40" s="12" t="str"/>
      <x:c r="I40" s="12" t="str">
        <x:v>When a hunt event, retreat roll, or monster consequence is previewed, reduce the penalty by 3. If retreating, preserve 1 gathered resource. If used on a hunt node, also mark one gathered resource as confirmed. After this resolves, one adjacent ally gains Guarded 1.</x:v>
      </x:c>
    </x:row>
    <x:row r="41" ht="39.599998474121094" hidden="0" customHeight="1">
      <x:c r="A41" s="12" t="str">
        <x:v>visibleEffect-pass1-1</x:v>
      </x:c>
      <x:c r="B41" s="12" t="str">
        <x:v>Ring Whip</x:v>
      </x:c>
      <x:c r="C41" s="12" t="str">
        <x:v>Ring Whip — Payoff</x:v>
      </x:c>
      <x:c r="D41" s="12" t="str">
        <x:v>ringWhipPayoff</x:v>
      </x:c>
      <x:c r="E41" s="12" t="str">
        <x:v>added visible rider markedPressure</x:v>
      </x:c>
      <x:c r="F41" s="12" t="str">
        <x:v>Deal 6 damage and 2 break damage. If this breaks a weak point, resolve Bleed 1 and the counterReady rider.</x:v>
      </x:c>
      <x:c r="G41" s="12" t="str">
        <x:v>Deal 6 damage and 2 break damage. If this breaks a weak point, resolve Bleed 1 and the counterReady rider; If the quarry is Marked, add +1 to one listed value.</x:v>
      </x:c>
      <x:c r="H41" s="12" t="str">
        <x:v>Deal 6 damage and 2 break damage. If the weak point breaks, apply Bleed 1 and resolve: If played after blocking, your next Counter gains +2 damage.</x:v>
      </x:c>
      <x:c r="I41" s="12" t="str">
        <x:v>Deal 6 damage and 2 break damage. If the weak point breaks, apply Bleed 1 and resolve: If played after blocking, your next Counter gains +2 damage. If the quarry is Marked, add +1 to one listed value.</x:v>
      </x:c>
    </x:row>
    <x:row r="42" ht="52.79999923706055" hidden="0" customHeight="1">
      <x:c r="A42" s="12" t="str">
        <x:v>visibleEffect-pass1-2</x:v>
      </x:c>
      <x:c r="B42" s="12" t="str">
        <x:v>Gloom Cream</x:v>
      </x:c>
      <x:c r="C42" s="12" t="str">
        <x:v>Gloom Cream — Contingency</x:v>
      </x:c>
      <x:c r="D42" s="12" t="str">
        <x:v>gloomCreamContingency</x:v>
      </x:c>
      <x:c r="E42" s="12" t="str">
        <x:v>added visible rider allyCover</x:v>
      </x:c>
      <x:c r="F42" s="12" t="str">
        <x:v>When a hunt or monster consequence is previewed, reduce it by 2; on retreat, preserve 1 gathered resource.</x:v>
      </x:c>
      <x:c r="G42" s="12" t="str">
        <x:v>When a hunt or monster consequence is previewed, reduce it by 2; on retreat, preserve 1 gathered resource; After this resolves, the lowest-HP ally gains Guarded 1.</x:v>
      </x:c>
      <x:c r="H42" s="12" t="str">
        <x:v>When a hunt event, retreat roll, or monster consequence is previewed, reduce the penalty by 2. If retreating, preserve 1 gathered resource. If the quarry is Marked, draw 1 then discard 1.</x:v>
      </x:c>
      <x:c r="I42" s="12" t="str">
        <x:v>When a hunt event, retreat roll, or monster consequence is previewed, reduce the penalty by 2. If retreating, preserve 1 gathered resource. If the quarry is Marked, draw 1 then discard 1. After this resolves, the lowest-HP ally gains Guarded 1.</x:v>
      </x:c>
    </x:row>
    <x:row r="43" ht="52.79999923706055" hidden="0" customHeight="1">
      <x:c r="A43" s="12" t="str">
        <x:v>visibleEffect-pass1-3</x:v>
      </x:c>
      <x:c r="B43" s="12" t="str">
        <x:v>Beetle Bomb</x:v>
      </x:c>
      <x:c r="C43" s="12" t="str">
        <x:v>Beetle Bomb — Contingency</x:v>
      </x:c>
      <x:c r="D43" s="12" t="str">
        <x:v>beetleBombContingency</x:v>
      </x:c>
      <x:c r="E43" s="12" t="str">
        <x:v>added visible rider bloodPrice</x:v>
      </x:c>
      <x:c r="F43" s="12" t="str">
        <x:v>When a hunt or monster consequence is previewed, reduce it by 2; on retreat, preserve 1 gathered resource.</x:v>
      </x:c>
      <x:c r="G43" s="12" t="str">
        <x:v>When a hunt or monster consequence is previewed, reduce it by 2; on retreat, preserve 1 gathered resource; You may take Panic 1 to increase one listed value by 1.</x:v>
      </x:c>
      <x:c r="H43" s="12" t="str">
        <x:v>When a hunt event, retreat roll, or monster consequence is previewed, reduce the penalty by 2. If retreating, preserve 1 gathered resource. If used on a hunt node, also mark one gathered resource as confirmed.</x:v>
      </x:c>
      <x:c r="I43" s="12" t="str">
        <x:v>When a hunt event, retreat roll, or monster consequence is previewed, reduce the penalty by 2. If retreating, preserve 1 gathered resource. If used on a hunt node, also mark one gathered resource as confirmed. You may take Panic 1 to increase one listed value by 1.</x:v>
      </x:c>
    </x:row>
    <x:row r="44" ht="52.79999923706055" hidden="0" customHeight="1">
      <x:c r="A44" s="12" t="str">
        <x:v>visibleEffect-pass1-4</x:v>
      </x:c>
      <x:c r="B44" s="12" t="str">
        <x:v>Musk Bomb</x:v>
      </x:c>
      <x:c r="C44" s="12" t="str">
        <x:v>Musk Bomb — Contingency</x:v>
      </x:c>
      <x:c r="D44" s="12" t="str">
        <x:v>muskBombContingency</x:v>
      </x:c>
      <x:c r="E44" s="12" t="str">
        <x:v>added visible rider harvestHook</x:v>
      </x:c>
      <x:c r="F44" s="12" t="str">
        <x:v>When a hunt or monster consequence is previewed, reduce it by 3; on retreat, preserve 1 gathered resource.</x:v>
      </x:c>
      <x:c r="G44" s="12" t="str">
        <x:v>When a hunt or monster consequence is previewed, reduce it by 3; on retreat, preserve 1 gathered resource; If this opens or breaks a weak point, improve the next harvest test by +1.</x:v>
      </x:c>
      <x:c r="H44" s="12" t="str">
        <x:v>When a hunt event, retreat roll, or monster consequence is previewed, reduce the penalty by 3. If retreating, preserve 1 gathered resource. If this would drop you to 0 HP, resolve the card first, then die if still at 0 HP.</x:v>
      </x:c>
      <x:c r="I44" s="12" t="str">
        <x:v>When a hunt event, retreat roll, or monster consequence is previewed, reduce the penalty by 3. If retreating, preserve 1 gathered resource. If this would drop you to 0 HP, resolve the card first, then die if still at 0 HP. If this opens or breaks a weak point, improve the next harvest test by +1.</x:v>
      </x:c>
    </x:row>
    <x:row r="45" ht="52.79999923706055" hidden="0" customHeight="1">
      <x:c r="A45" s="12" t="str">
        <x:v>visibleEffect-pass1-5</x:v>
      </x:c>
      <x:c r="B45" s="12" t="str">
        <x:v>Noonspot Lantern</x:v>
      </x:c>
      <x:c r="C45" s="12" t="str">
        <x:v>Noonspot Lantern — Contingency</x:v>
      </x:c>
      <x:c r="D45" s="12" t="str">
        <x:v>noonspotLanternContingency</x:v>
      </x:c>
      <x:c r="E45" s="12" t="str">
        <x:v>added visible rider steadyHands</x:v>
      </x:c>
      <x:c r="F45" s="12" t="str">
        <x:v>When a hunt or monster consequence is previewed, reduce it by 3; on retreat, preserve 1 gathered resource.</x:v>
      </x:c>
      <x:c r="G45" s="12" t="str">
        <x:v>When a hunt or monster consequence is previewed, reduce it by 3; on retreat, preserve 1 gathered resource; If this is your first card this turn, ignore Guarded 1 on the quarry.</x:v>
      </x:c>
      <x:c r="H45" s="12" t="str">
        <x:v>When a hunt event, retreat roll, or monster consequence is previewed, reduce the penalty by 3. If retreating, preserve 1 gathered resource. If the quarry is Marked, draw 1 then discard 1.</x:v>
      </x:c>
      <x:c r="I45" s="12" t="str">
        <x:v>When a hunt event, retreat roll, or monster consequence is previewed, reduce the penalty by 3. If retreating, preserve 1 gathered resource. If the quarry is Marked, draw 1 then discard 1. If this is your first card this turn, ignore Guarded 1 on the quarry.</x:v>
      </x:c>
    </x:row>
    <x:row r="46" ht="39.599998474121094" hidden="0" customHeight="1">
      <x:c r="A46" s="12" t="str">
        <x:v>fullEffect-pass1-1</x:v>
      </x:c>
      <x:c r="B46" s="12" t="str">
        <x:v>Gaxe</x:v>
      </x:c>
      <x:c r="C46" s="12" t="str">
        <x:v>Gaxe — Technique</x:v>
      </x:c>
      <x:c r="D46" s="12" t="str">
        <x:v>gaxeTechnique</x:v>
      </x:c>
      <x:c r="E46" s="12" t="str">
        <x:v>added visible rider markedPressure</x:v>
      </x:c>
      <x:c r="F46" s="12" t="str">
        <x:v>Commit to a heavy chop; +3 break damage but failed fragile harvests worsen by one step. Also gain 3 block.</x:v>
      </x:c>
      <x:c r="G46" s="12" t="str">
        <x:v>Commit to a heavy chop; +3 break damage but failed fragile harvests worsen by one step. Also gain 3 block; If the quarry is Marked, add +1 to one listed value.</x:v>
      </x:c>
      <x:c r="H46" s="12" t="str">
        <x:v>Commit to a heavy chop; +3 break damage but failed fragile harvests worsen by one step. Gain 3 block. On a failed harvest, keep one common fallback material.</x:v>
      </x:c>
      <x:c r="I46" s="12" t="str">
        <x:v>Commit to a heavy chop; +3 break damage but failed fragile harvests worsen by one step. Gain 3 block. On a failed harvest, keep one common fallback material. If the quarry is Marked, add +1 to one listed value.</x:v>
      </x:c>
    </x:row>
    <x:row r="47" ht="52.79999923706055" hidden="0" customHeight="1">
      <x:c r="A47" s="12" t="str">
        <x:v>fullEffect-pass1-2</x:v>
      </x:c>
      <x:c r="B47" s="12" t="str">
        <x:v>Jack O' Lantern</x:v>
      </x:c>
      <x:c r="C47" s="12" t="str">
        <x:v>Jack O' Lantern — Contingency</x:v>
      </x:c>
      <x:c r="D47" s="12" t="str">
        <x:v>jackOLanternContingency</x:v>
      </x:c>
      <x:c r="E47" s="12" t="str">
        <x:v>added visible rider allyCover</x:v>
      </x:c>
      <x:c r="F47" s="12" t="str">
        <x:v>When a hunt or monster consequence is previewed, reduce it by 2; on retreat, preserve 2 gathered resource.</x:v>
      </x:c>
      <x:c r="G47" s="12" t="str">
        <x:v>When a hunt or monster consequence is previewed, reduce it by 2; on retreat, preserve 2 gathered resource; After this resolves, the lowest-HP ally gains Guarded 1.</x:v>
      </x:c>
      <x:c r="H47" s="12" t="str">
        <x:v>When a hunt event, retreat roll, or monster consequence is previewed, reduce the penalty by 2. If retreating, preserve 2 gathered resource. If this breaks a weak point, improve harvest quality by one step unless it is already Clean.</x:v>
      </x:c>
      <x:c r="I47" s="12" t="str">
        <x:v>When a hunt event, retreat roll, or monster consequence is previewed, reduce the penalty by 2. If retreating, preserve 2 gathered resource. If this breaks a weak point, improve harvest quality by one step unless it is already Clean. After this resolves, the lowest-HP ally gains Guarded 1.</x:v>
      </x:c>
    </x:row>
    <x:row r="48" ht="52.79999923706055" hidden="0" customHeight="1">
      <x:c r="A48" s="12" t="str">
        <x:v>fullEffect-pass1-3</x:v>
      </x:c>
      <x:c r="B48" s="12" t="str">
        <x:v>Trom Bone (Hunt Phase)</x:v>
      </x:c>
      <x:c r="C48" s="12" t="str">
        <x:v>Trom Bone (Hunt Phase) — Contingency</x:v>
      </x:c>
      <x:c r="D48" s="12" t="str">
        <x:v>tromBoneHuntPhaseContingency</x:v>
      </x:c>
      <x:c r="E48" s="12" t="str">
        <x:v>added visible rider bloodPrice</x:v>
      </x:c>
      <x:c r="F48" s="12" t="str">
        <x:v>When a hunt or monster consequence is previewed, reduce it by 2; on retreat, preserve 1 gathered resource.</x:v>
      </x:c>
      <x:c r="G48" s="12" t="str">
        <x:v>When a hunt or monster consequence is previewed, reduce it by 2; on retreat, preserve 1 gathered resource; You may take Panic 1 to increase one listed value by 1.</x:v>
      </x:c>
      <x:c r="H48" s="12" t="str">
        <x:v>When a hunt event, retreat roll, or monster consequence is previewed, reduce the penalty by 2. If retreating, preserve 1 gathered resource. If this is the only card you play this turn, gain +2 block.</x:v>
      </x:c>
      <x:c r="I48" s="12" t="str">
        <x:v>When a hunt event, retreat roll, or monster consequence is previewed, reduce the penalty by 2. If retreating, preserve 1 gathered resource. If this is the only card you play this turn, gain +2 block. You may take Panic 1 to increase one listed value by 1.</x:v>
      </x:c>
    </x:row>
  </x:sheetData>
  <x:pageMargins left="0.7" right="0.7" top="0.75" bottom="0.75" header="0.3" footer="0.3"/>
  <x:tableParts count="1">
    <x:tablePart xmlns:r="http://schemas.openxmlformats.org/officeDocument/2006/relationships" r:id="R8747cf61dc614583"/>
  </x:tableParts>
</x:worksheet>
</file>

<file path=xl/worksheets/sheet4.xml><?xml version="1.0" encoding="utf-8"?>
<x:worksheet xmlns:x="http://schemas.openxmlformats.org/spreadsheetml/2006/main">
  <x:sheetFormatPr defaultRowHeight="15"/>
  <x:cols>
    <x:col min="1" max="1" width="28" hidden="0" customWidth="1"/>
    <x:col min="2" max="2" width="28" hidden="0" customWidth="1"/>
    <x:col min="3" max="3" width="10" hidden="0" customWidth="1"/>
    <x:col min="4" max="4" width="46" hidden="0" customWidth="1"/>
    <x:col min="5" max="5" width="18" hidden="0" customWidth="1"/>
    <x:col min="6" max="6" width="16" hidden="0" customWidth="1"/>
    <x:col min="7" max="7" width="18" hidden="0" customWidth="1"/>
  </x:cols>
  <x:sheetData>
    <x:row r="1" ht="26.399999618530273" hidden="0" customHeight="1">
      <x:c r="A1" s="47" t="str">
        <x:v>Equipment</x:v>
      </x:c>
      <x:c r="B1" s="47" t="str">
        <x:v>Original KDM Name</x:v>
      </x:c>
      <x:c r="C1" s="47" t="str">
        <x:v>Card Count</x:v>
      </x:c>
      <x:c r="D1" s="47" t="str">
        <x:v>Card Package</x:v>
      </x:c>
      <x:c r="E1" s="47" t="str">
        <x:v>Costs/Types</x:v>
      </x:c>
      <x:c r="F1" s="47" t="str">
        <x:v>Package Signature</x:v>
      </x:c>
      <x:c r="G1" s="47" t="str">
        <x:v>Duplicate Package Count</x:v>
      </x:c>
    </x:row>
    <x:row r="2" ht="39.599998474121094" hidden="0" customHeight="1">
      <x:c r="A2" s="12" t="str">
        <x:v>Acid Tooth Knife</x:v>
      </x:c>
      <x:c r="B2" s="12" t="str">
        <x:v>ACID TOOTH DAGGER</x:v>
      </x:c>
      <x:c r="C2" s="12" t="n">
        <x:v>3</x:v>
      </x:c>
      <x:c r="D2" s="12" t="str">
        <x:v>Acid Tooth Knife — Opening Cut
Acid Tooth Knife — Technique
Acid Tooth Knife — Payoff</x:v>
      </x:c>
      <x:c r="E2" s="12" t="str">
        <x:v>0 / attack
2 / skill
2 / attack</x:v>
      </x:c>
      <x:c r="F2" s="12" t="str">
        <x:v>b94aec496ddd</x:v>
      </x:c>
      <x:c r="G2" s="12" t="n">
        <x:v>1</x:v>
      </x:c>
    </x:row>
    <x:row r="3" ht="26.399999618530273" hidden="0" customHeight="1">
      <x:c r="A3" s="12" t="str">
        <x:v>Acid Tusk Dirk</x:v>
      </x:c>
      <x:c r="B3" s="12" t="str">
        <x:v>ACID TUSK DIRK</x:v>
      </x:c>
      <x:c r="C3" s="12" t="n">
        <x:v>2</x:v>
      </x:c>
      <x:c r="D3" s="12" t="str">
        <x:v>Acid Tusk Dirk — Use
Acid Tusk Dirk — Contingency</x:v>
      </x:c>
      <x:c r="E3" s="12" t="str">
        <x:v>1 / skill
1 / reaction</x:v>
      </x:c>
      <x:c r="F3" s="12" t="str">
        <x:v>eb33402ff23f</x:v>
      </x:c>
      <x:c r="G3" s="12" t="n">
        <x:v>1</x:v>
      </x:c>
    </x:row>
    <x:row r="4" ht="26.399999618530273" hidden="0" customHeight="1">
      <x:c r="A4" s="12" t="str">
        <x:v>Almanac</x:v>
      </x:c>
      <x:c r="B4" s="12" t="str">
        <x:v>ALMANAC</x:v>
      </x:c>
      <x:c r="C4" s="12" t="n">
        <x:v>2</x:v>
      </x:c>
      <x:c r="D4" s="12" t="str">
        <x:v>Almanac — Use
Almanac — Contingency</x:v>
      </x:c>
      <x:c r="E4" s="12" t="str">
        <x:v>1 / skill
1 / reaction</x:v>
      </x:c>
      <x:c r="F4" s="12" t="str">
        <x:v>aaa430d191bf</x:v>
      </x:c>
      <x:c r="G4" s="12" t="n">
        <x:v>1</x:v>
      </x:c>
    </x:row>
    <x:row r="5" ht="39.599998474121094" hidden="0" customHeight="1">
      <x:c r="A5" s="12" t="str">
        <x:v>Amber Bow</x:v>
      </x:c>
      <x:c r="B5" s="12" t="str">
        <x:v>AMBER BOW</x:v>
      </x:c>
      <x:c r="C5" s="12" t="n">
        <x:v>3</x:v>
      </x:c>
      <x:c r="D5" s="12" t="str">
        <x:v>Amber Bow — Opening Strike
Amber Bow — Technique
Amber Bow — Payoff</x:v>
      </x:c>
      <x:c r="E5" s="12" t="str">
        <x:v>1 / attack
1 / skill
2 / attack</x:v>
      </x:c>
      <x:c r="F5" s="12" t="str">
        <x:v>90234e17ac93</x:v>
      </x:c>
      <x:c r="G5" s="12" t="n">
        <x:v>1</x:v>
      </x:c>
    </x:row>
    <x:row r="6" ht="26.399999618530273" hidden="0" customHeight="1">
      <x:c r="A6" s="12" t="str">
        <x:v>Amber Cello (Hunt Phase)</x:v>
      </x:c>
      <x:c r="B6" s="12" t="str">
        <x:v>AMBER CELLO (HUNT PHASE)</x:v>
      </x:c>
      <x:c r="C6" s="12" t="n">
        <x:v>2</x:v>
      </x:c>
      <x:c r="D6" s="12" t="str">
        <x:v>Amber Cello (Hunt Phase) — Hunt Call
Amber Cello (Hunt Phase) — Echo</x:v>
      </x:c>
      <x:c r="E6" s="12" t="str">
        <x:v>1 / support
0 / reaction</x:v>
      </x:c>
      <x:c r="F6" s="12" t="str">
        <x:v>cf00767da1f1</x:v>
      </x:c>
      <x:c r="G6" s="12" t="n">
        <x:v>1</x:v>
      </x:c>
    </x:row>
    <x:row r="7" ht="26.399999618530273" hidden="0" customHeight="1">
      <x:c r="A7" s="12" t="str">
        <x:v>Amber Cello (Showdown Phase)</x:v>
      </x:c>
      <x:c r="B7" s="12" t="str">
        <x:v>AMBER CELLO (SHOWDOWN PHASE)</x:v>
      </x:c>
      <x:c r="C7" s="12" t="n">
        <x:v>2</x:v>
      </x:c>
      <x:c r="D7" s="12" t="str">
        <x:v>Amber Cello (Showdown Phase) — War Call
Amber Cello (Showdown Phase) — Echo</x:v>
      </x:c>
      <x:c r="E7" s="12" t="str">
        <x:v>1 / support
1 / reaction</x:v>
      </x:c>
      <x:c r="F7" s="12" t="str">
        <x:v>23e297787b07</x:v>
      </x:c>
      <x:c r="G7" s="12" t="n">
        <x:v>1</x:v>
      </x:c>
    </x:row>
    <x:row r="8" ht="26.399999618530273" hidden="0" customHeight="1">
      <x:c r="A8" s="12" t="str">
        <x:v>Amber Edge</x:v>
      </x:c>
      <x:c r="B8" s="12" t="str">
        <x:v>AMBER EDGE</x:v>
      </x:c>
      <x:c r="C8" s="12" t="n">
        <x:v>2</x:v>
      </x:c>
      <x:c r="D8" s="12" t="str">
        <x:v>Amber Edge — Use
Amber Edge — Contingency</x:v>
      </x:c>
      <x:c r="E8" s="12" t="str">
        <x:v>1 / skill
1 / reaction</x:v>
      </x:c>
      <x:c r="F8" s="12" t="str">
        <x:v>90165cc3ccad</x:v>
      </x:c>
      <x:c r="G8" s="12" t="n">
        <x:v>1</x:v>
      </x:c>
    </x:row>
    <x:row r="9" ht="39.599998474121094" hidden="0" customHeight="1">
      <x:c r="A9" s="12" t="str">
        <x:v>Amber Poleaxe</x:v>
      </x:c>
      <x:c r="B9" s="12" t="str">
        <x:v>AMBER POLEAXE</x:v>
      </x:c>
      <x:c r="C9" s="12" t="n">
        <x:v>3</x:v>
      </x:c>
      <x:c r="D9" s="12" t="str">
        <x:v>Amber Poleaxe — Opening Strike
Amber Poleaxe — Technique
Amber Poleaxe — Payoff</x:v>
      </x:c>
      <x:c r="E9" s="12" t="str">
        <x:v>1 / attack
3 / skill
3 / attack</x:v>
      </x:c>
      <x:c r="F9" s="12" t="str">
        <x:v>2bc9cef81cb3</x:v>
      </x:c>
      <x:c r="G9" s="12" t="n">
        <x:v>1</x:v>
      </x:c>
    </x:row>
    <x:row r="10" ht="39.599998474121094" hidden="0" customHeight="1">
      <x:c r="A10" s="12" t="str">
        <x:v>Amber Twin Knives</x:v>
      </x:c>
      <x:c r="B10" s="12" t="str">
        <x:v>AMBER DAGGERS</x:v>
      </x:c>
      <x:c r="C10" s="12" t="n">
        <x:v>3</x:v>
      </x:c>
      <x:c r="D10" s="12" t="str">
        <x:v>Amber Twin Knives — Opening Cut
Amber Twin Knives — Technique
Amber Twin Knives — Payoff</x:v>
      </x:c>
      <x:c r="E10" s="12" t="str">
        <x:v>0 / attack
2 / skill
2 / attack</x:v>
      </x:c>
      <x:c r="F10" s="12" t="str">
        <x:v>05ad997e6cac</x:v>
      </x:c>
      <x:c r="G10" s="12" t="n">
        <x:v>1</x:v>
      </x:c>
    </x:row>
    <x:row r="11" ht="26.399999618530273" hidden="0" customHeight="1">
      <x:c r="A11" s="12" t="str">
        <x:v>Antelope Visage</x:v>
      </x:c>
      <x:c r="B11" s="12" t="str">
        <x:v>ANTELOPE MASK</x:v>
      </x:c>
      <x:c r="C11" s="12" t="n">
        <x:v>2</x:v>
      </x:c>
      <x:c r="D11" s="12" t="str">
        <x:v>Antelope Visage — Omen
Antelope Visage — Glimmer</x:v>
      </x:c>
      <x:c r="E11" s="12" t="str">
        <x:v>0 / skill
0 / reaction</x:v>
      </x:c>
      <x:c r="F11" s="12" t="str">
        <x:v>d3199c5152c4</x:v>
      </x:c>
      <x:c r="G11" s="12" t="n">
        <x:v>1</x:v>
      </x:c>
    </x:row>
    <x:row r="12" ht="39.599998474121094" hidden="0" customHeight="1">
      <x:c r="A12" s="12" t="str">
        <x:v>Arc Bow</x:v>
      </x:c>
      <x:c r="B12" s="12" t="str">
        <x:v>ARC BOW</x:v>
      </x:c>
      <x:c r="C12" s="12" t="n">
        <x:v>3</x:v>
      </x:c>
      <x:c r="D12" s="12" t="str">
        <x:v>Arc Bow — Opening Strike
Arc Bow — Technique
Arc Bow — Payoff</x:v>
      </x:c>
      <x:c r="E12" s="12" t="str">
        <x:v>1 / attack
2 / skill
2 / attack</x:v>
      </x:c>
      <x:c r="F12" s="12" t="str">
        <x:v>c1b1ea2d38b7</x:v>
      </x:c>
      <x:c r="G12" s="12" t="n">
        <x:v>1</x:v>
      </x:c>
    </x:row>
    <x:row r="13" ht="26.399999618530273" hidden="0" customHeight="1">
      <x:c r="A13" s="12" t="str">
        <x:v>Armor Spikes</x:v>
      </x:c>
      <x:c r="B13" s="12" t="str">
        <x:v>ARMOR SPIKES</x:v>
      </x:c>
      <x:c r="C13" s="12" t="n">
        <x:v>2</x:v>
      </x:c>
      <x:c r="D13" s="12" t="str">
        <x:v>Armor Spikes — Brace
Armor Spikes — Fitted Plate</x:v>
      </x:c>
      <x:c r="E13" s="12" t="str">
        <x:v>1 / skill
1 / reaction</x:v>
      </x:c>
      <x:c r="F13" s="12" t="str">
        <x:v>e708281b1c92</x:v>
      </x:c>
      <x:c r="G13" s="12" t="n">
        <x:v>1</x:v>
      </x:c>
    </x:row>
    <x:row r="14" ht="26.399999618530273" hidden="0" customHeight="1">
      <x:c r="A14" s="12" t="str">
        <x:v>Bandages</x:v>
      </x:c>
      <x:c r="B14" s="12" t="str">
        <x:v>BANDAGES</x:v>
      </x:c>
      <x:c r="C14" s="12" t="n">
        <x:v>2</x:v>
      </x:c>
      <x:c r="D14" s="12" t="str">
        <x:v>Bandages — Resonance
Bandages — Echo</x:v>
      </x:c>
      <x:c r="E14" s="12" t="str">
        <x:v>1 / support
1 / reaction</x:v>
      </x:c>
      <x:c r="F14" s="12" t="str">
        <x:v>c5e4ac20ea1e</x:v>
      </x:c>
      <x:c r="G14" s="12" t="n">
        <x:v>1</x:v>
      </x:c>
    </x:row>
    <x:row r="15" ht="26.399999618530273" hidden="0" customHeight="1">
      <x:c r="A15" s="12" t="str">
        <x:v>Beacon Guard</x:v>
      </x:c>
      <x:c r="B15" s="12" t="str">
        <x:v>BEACON SHIELD</x:v>
      </x:c>
      <x:c r="C15" s="12" t="n">
        <x:v>2</x:v>
      </x:c>
      <x:c r="D15" s="12" t="str">
        <x:v>Beacon Guard — Shield Wall
Beacon Guard — Answering Bash</x:v>
      </x:c>
      <x:c r="E15" s="12" t="str">
        <x:v>1 / skill
1 / reaction</x:v>
      </x:c>
      <x:c r="F15" s="12" t="str">
        <x:v>6698520a2d82</x:v>
      </x:c>
      <x:c r="G15" s="12" t="n">
        <x:v>1</x:v>
      </x:c>
    </x:row>
    <x:row r="16" ht="39.599998474121094" hidden="0" customHeight="1">
      <x:c r="A16" s="12" t="str">
        <x:v>Beast Knuckle</x:v>
      </x:c>
      <x:c r="B16" s="12" t="str">
        <x:v>BEAST KNUCKLE</x:v>
      </x:c>
      <x:c r="C16" s="12" t="n">
        <x:v>3</x:v>
      </x:c>
      <x:c r="D16" s="12" t="str">
        <x:v>Beast Knuckle — Opening Strike
Beast Knuckle — Technique
Beast Knuckle — Payoff</x:v>
      </x:c>
      <x:c r="E16" s="12" t="str">
        <x:v>0 / attack
2 / skill
2 / reaction</x:v>
      </x:c>
      <x:c r="F16" s="12" t="str">
        <x:v>4bc3eaa30b37</x:v>
      </x:c>
      <x:c r="G16" s="12" t="n">
        <x:v>1</x:v>
      </x:c>
    </x:row>
    <x:row r="17" ht="26.399999618530273" hidden="0" customHeight="1">
      <x:c r="A17" s="12" t="str">
        <x:v>Beetle Bomb</x:v>
      </x:c>
      <x:c r="B17" s="12" t="str">
        <x:v>THE BEATLE BOMB</x:v>
      </x:c>
      <x:c r="C17" s="12" t="n">
        <x:v>2</x:v>
      </x:c>
      <x:c r="D17" s="12" t="str">
        <x:v>Beetle Bomb — Use
Beetle Bomb — Contingency</x:v>
      </x:c>
      <x:c r="E17" s="12" t="str">
        <x:v>0 / skill
1 / reaction</x:v>
      </x:c>
      <x:c r="F17" s="12" t="str">
        <x:v>0f379fd92b37</x:v>
      </x:c>
      <x:c r="G17" s="12" t="n">
        <x:v>1</x:v>
      </x:c>
    </x:row>
    <x:row r="18" ht="26.399999618530273" hidden="0" customHeight="1">
      <x:c r="A18" s="12" t="str">
        <x:v>Beetugle (Hunt Phase)</x:v>
      </x:c>
      <x:c r="B18" s="12" t="str">
        <x:v>BEETUGLE (HUNT PHASE)</x:v>
      </x:c>
      <x:c r="C18" s="12" t="n">
        <x:v>2</x:v>
      </x:c>
      <x:c r="D18" s="12" t="str">
        <x:v>Beetugle (Hunt Phase) — Use
Beetugle (Hunt Phase) — Contingency</x:v>
      </x:c>
      <x:c r="E18" s="12" t="str">
        <x:v>0 / skill
0 / reaction</x:v>
      </x:c>
      <x:c r="F18" s="12" t="str">
        <x:v>614146e075e5</x:v>
      </x:c>
      <x:c r="G18" s="12" t="n">
        <x:v>1</x:v>
      </x:c>
    </x:row>
    <x:row r="19" ht="26.399999618530273" hidden="0" customHeight="1">
      <x:c r="A19" s="12" t="str">
        <x:v>Beetugle (Showdown Phase)</x:v>
      </x:c>
      <x:c r="B19" s="12" t="str">
        <x:v>BEETUGLE (SHOWDOWN PHASE)</x:v>
      </x:c>
      <x:c r="C19" s="12" t="n">
        <x:v>2</x:v>
      </x:c>
      <x:c r="D19" s="12" t="str">
        <x:v>Beetugle (Showdown Phase) — Use
Beetugle (Showdown Phase) — Contingency</x:v>
      </x:c>
      <x:c r="E19" s="12" t="str">
        <x:v>1 / skill
1 / reaction</x:v>
      </x:c>
      <x:c r="F19" s="12" t="str">
        <x:v>49cccccb3d1b</x:v>
      </x:c>
      <x:c r="G19" s="12" t="n">
        <x:v>1</x:v>
      </x:c>
    </x:row>
    <x:row r="20" ht="26.399999618530273" hidden="0" customHeight="1">
      <x:c r="A20" s="12" t="str">
        <x:v>Bird Bread</x:v>
      </x:c>
      <x:c r="B20" s="12" t="str">
        <x:v>BIRD BREAD</x:v>
      </x:c>
      <x:c r="C20" s="12" t="n">
        <x:v>2</x:v>
      </x:c>
      <x:c r="D20" s="12" t="str">
        <x:v>Bird Bread — Use
Bird Bread — Contingency</x:v>
      </x:c>
      <x:c r="E20" s="12" t="str">
        <x:v>0 / skill
1 / reaction</x:v>
      </x:c>
      <x:c r="F20" s="12" t="str">
        <x:v>4f96860b2aeb</x:v>
      </x:c>
      <x:c r="G20" s="12" t="n">
        <x:v>1</x:v>
      </x:c>
    </x:row>
    <x:row r="21" ht="39.599998474121094" hidden="0" customHeight="1">
      <x:c r="A21" s="12" t="str">
        <x:v>Black Blade</x:v>
      </x:c>
      <x:c r="B21" s="12" t="str">
        <x:v>BLACK SWORD</x:v>
      </x:c>
      <x:c r="C21" s="12" t="n">
        <x:v>3</x:v>
      </x:c>
      <x:c r="D21" s="12" t="str">
        <x:v>Black Blade — Opening Cut
Black Blade — Technique
Black Blade — Payoff</x:v>
      </x:c>
      <x:c r="E21" s="12" t="str">
        <x:v>1 / attack
1 / skill
2 / reaction</x:v>
      </x:c>
      <x:c r="F21" s="12" t="str">
        <x:v>6c98212c2d0c</x:v>
      </x:c>
      <x:c r="G21" s="12" t="n">
        <x:v>1</x:v>
      </x:c>
    </x:row>
    <x:row r="22" ht="39.599998474121094" hidden="0" customHeight="1">
      <x:c r="A22" s="12" t="str">
        <x:v>Blade &amp; Guard</x:v>
      </x:c>
      <x:c r="B22" s="12" t="str">
        <x:v>SWORD &amp; SHIELD</x:v>
      </x:c>
      <x:c r="C22" s="12" t="n">
        <x:v>3</x:v>
      </x:c>
      <x:c r="D22" s="12" t="str">
        <x:v>Blade &amp; Guard — Opening Cut
Blade &amp; Guard — Technique
Blade &amp; Guard — Payoff</x:v>
      </x:c>
      <x:c r="E22" s="12" t="str">
        <x:v>1 / attack
2 / skill
2 / reaction</x:v>
      </x:c>
      <x:c r="F22" s="12" t="str">
        <x:v>8f84111de550</x:v>
      </x:c>
      <x:c r="G22" s="12" t="n">
        <x:v>1</x:v>
      </x:c>
    </x:row>
    <x:row r="23" ht="39.599998474121094" hidden="0" customHeight="1">
      <x:c r="A23" s="12" t="str">
        <x:v>Blast Blade</x:v>
      </x:c>
      <x:c r="B23" s="12" t="str">
        <x:v>BLAST SWORD</x:v>
      </x:c>
      <x:c r="C23" s="12" t="n">
        <x:v>3</x:v>
      </x:c>
      <x:c r="D23" s="12" t="str">
        <x:v>Blast Blade — Opening Cut
Blast Blade — Technique
Blast Blade — Payoff</x:v>
      </x:c>
      <x:c r="E23" s="12" t="str">
        <x:v>1 / attack
1 / skill
2 / reaction</x:v>
      </x:c>
      <x:c r="F23" s="12" t="str">
        <x:v>6f80233002b5</x:v>
      </x:c>
      <x:c r="G23" s="12" t="n">
        <x:v>1</x:v>
      </x:c>
    </x:row>
    <x:row r="24" ht="26.399999618530273" hidden="0" customHeight="1">
      <x:c r="A24" s="12" t="str">
        <x:v>Blast Guard</x:v>
      </x:c>
      <x:c r="B24" s="12" t="str">
        <x:v>BLAST SHIELD</x:v>
      </x:c>
      <x:c r="C24" s="12" t="n">
        <x:v>2</x:v>
      </x:c>
      <x:c r="D24" s="12" t="str">
        <x:v>Blast Guard — Shield Wall
Blast Guard — Answering Bash</x:v>
      </x:c>
      <x:c r="E24" s="12" t="str">
        <x:v>1 / skill
1 / reaction</x:v>
      </x:c>
      <x:c r="F24" s="12" t="str">
        <x:v>c56dc9a92cfc</x:v>
      </x:c>
      <x:c r="G24" s="12" t="n">
        <x:v>1</x:v>
      </x:c>
    </x:row>
    <x:row r="25" ht="26.399999618530273" hidden="0" customHeight="1">
      <x:c r="A25" s="12" t="str">
        <x:v>Blood Bag</x:v>
      </x:c>
      <x:c r="B25" s="12" t="str">
        <x:v>BLOOD BAG</x:v>
      </x:c>
      <x:c r="C25" s="12" t="n">
        <x:v>2</x:v>
      </x:c>
      <x:c r="D25" s="12" t="str">
        <x:v>Blood Bag — Use
Blood Bag — Contingency</x:v>
      </x:c>
      <x:c r="E25" s="12" t="str">
        <x:v>1 / skill
1 / reaction</x:v>
      </x:c>
      <x:c r="F25" s="12" t="str">
        <x:v>637f900063bd</x:v>
      </x:c>
      <x:c r="G25" s="12" t="n">
        <x:v>1</x:v>
      </x:c>
    </x:row>
    <x:row r="26" ht="26.399999618530273" hidden="0" customHeight="1">
      <x:c r="A26" s="12" t="str">
        <x:v>Blood Crown</x:v>
      </x:c>
      <x:c r="B26" s="12" t="str">
        <x:v>BLOOD HELM</x:v>
      </x:c>
      <x:c r="C26" s="12" t="n">
        <x:v>2</x:v>
      </x:c>
      <x:c r="D26" s="12" t="str">
        <x:v>Blood Crown — Brace
Blood Crown — Fitted Plate</x:v>
      </x:c>
      <x:c r="E26" s="12" t="str">
        <x:v>1 / skill
1 / reaction</x:v>
      </x:c>
      <x:c r="F26" s="12" t="str">
        <x:v>2ffe93a5df44</x:v>
      </x:c>
      <x:c r="G26" s="12" t="n">
        <x:v>1</x:v>
      </x:c>
    </x:row>
    <x:row r="27" ht="26.399999618530273" hidden="0" customHeight="1">
      <x:c r="A27" s="12" t="str">
        <x:v>Blood Paint</x:v>
      </x:c>
      <x:c r="B27" s="12" t="str">
        <x:v>BLOOD PAINT</x:v>
      </x:c>
      <x:c r="C27" s="12" t="n">
        <x:v>2</x:v>
      </x:c>
      <x:c r="D27" s="12" t="str">
        <x:v>Blood Paint — Use
Blood Paint — Contingency</x:v>
      </x:c>
      <x:c r="E27" s="12" t="str">
        <x:v>0 / skill
1 / reaction</x:v>
      </x:c>
      <x:c r="F27" s="12" t="str">
        <x:v>87865590cc4c</x:v>
      </x:c>
      <x:c r="G27" s="12" t="n">
        <x:v>1</x:v>
      </x:c>
    </x:row>
    <x:row r="28" ht="26.399999618530273" hidden="0" customHeight="1">
      <x:c r="A28" s="12" t="str">
        <x:v>Blood Sheath</x:v>
      </x:c>
      <x:c r="B28" s="12" t="str">
        <x:v>BLOOD SHEATH</x:v>
      </x:c>
      <x:c r="C28" s="12" t="n">
        <x:v>2</x:v>
      </x:c>
      <x:c r="D28" s="12" t="str">
        <x:v>Blood Sheath — Use
Blood Sheath — Contingency</x:v>
      </x:c>
      <x:c r="E28" s="12" t="str">
        <x:v>1 / skill
1 / reaction</x:v>
      </x:c>
      <x:c r="F28" s="12" t="str">
        <x:v>89deb8596d54</x:v>
      </x:c>
      <x:c r="G28" s="12" t="n">
        <x:v>1</x:v>
      </x:c>
    </x:row>
    <x:row r="29" ht="26.399999618530273" hidden="0" customHeight="1">
      <x:c r="A29" s="12" t="str">
        <x:v>Bloom Sphere</x:v>
      </x:c>
      <x:c r="B29" s="12" t="str">
        <x:v>BLOOM SPHERE</x:v>
      </x:c>
      <x:c r="C29" s="12" t="n">
        <x:v>2</x:v>
      </x:c>
      <x:c r="D29" s="12" t="str">
        <x:v>Bloom Sphere — Use
Bloom Sphere — Contingency</x:v>
      </x:c>
      <x:c r="E29" s="12" t="str">
        <x:v>1 / skill
1 / reaction</x:v>
      </x:c>
      <x:c r="F29" s="12" t="str">
        <x:v>9ba91a615321</x:v>
      </x:c>
      <x:c r="G29" s="12" t="n">
        <x:v>1</x:v>
      </x:c>
    </x:row>
    <x:row r="30" ht="26.399999618530273" hidden="0" customHeight="1">
      <x:c r="A30" s="12" t="str">
        <x:v>Blue Charm</x:v>
      </x:c>
      <x:c r="B30" s="12" t="str">
        <x:v>BLUE CHARM</x:v>
      </x:c>
      <x:c r="C30" s="12" t="n">
        <x:v>2</x:v>
      </x:c>
      <x:c r="D30" s="12" t="str">
        <x:v>Blue Charm — Omen
Blue Charm — Glimmer</x:v>
      </x:c>
      <x:c r="E30" s="12" t="str">
        <x:v>0 / skill
0 / reaction</x:v>
      </x:c>
      <x:c r="F30" s="12" t="str">
        <x:v>8c31b99c65a9</x:v>
      </x:c>
      <x:c r="G30" s="12" t="n">
        <x:v>1</x:v>
      </x:c>
    </x:row>
    <x:row r="31" ht="26.399999618530273" hidden="0" customHeight="1">
      <x:c r="A31" s="12" t="str">
        <x:v>Blue Power Core</x:v>
      </x:c>
      <x:c r="B31" s="12" t="str">
        <x:v>BLUE POWER CORE</x:v>
      </x:c>
      <x:c r="C31" s="12" t="n">
        <x:v>2</x:v>
      </x:c>
      <x:c r="D31" s="12" t="str">
        <x:v>Blue Power Core — Omen
Blue Power Core — Glimmer</x:v>
      </x:c>
      <x:c r="E31" s="12" t="str">
        <x:v>0 / skill
0 / reaction</x:v>
      </x:c>
      <x:c r="F31" s="12" t="str">
        <x:v>281e200948bd</x:v>
      </x:c>
      <x:c r="G31" s="12" t="n">
        <x:v>1</x:v>
      </x:c>
    </x:row>
    <x:row r="32" ht="26.399999618530273" hidden="0" customHeight="1">
      <x:c r="A32" s="12" t="str">
        <x:v>Blue Ring</x:v>
      </x:c>
      <x:c r="B32" s="12" t="str">
        <x:v>BLUE RING</x:v>
      </x:c>
      <x:c r="C32" s="12" t="n">
        <x:v>2</x:v>
      </x:c>
      <x:c r="D32" s="12" t="str">
        <x:v>Blue Ring — Omen
Blue Ring — Glimmer</x:v>
      </x:c>
      <x:c r="E32" s="12" t="str">
        <x:v>0 / skill
0 / reaction</x:v>
      </x:c>
      <x:c r="F32" s="12" t="str">
        <x:v>d4de8aea11e3</x:v>
      </x:c>
      <x:c r="G32" s="12" t="n">
        <x:v>1</x:v>
      </x:c>
    </x:row>
    <x:row r="33" ht="39.599998474121094" hidden="0" customHeight="1">
      <x:c r="A33" s="12" t="str">
        <x:v>Bone Axe</x:v>
      </x:c>
      <x:c r="B33" s="12" t="str">
        <x:v>BONE AXE</x:v>
      </x:c>
      <x:c r="C33" s="12" t="n">
        <x:v>3</x:v>
      </x:c>
      <x:c r="D33" s="12" t="str">
        <x:v>Bone Axe — Opening Strike
Bone Axe — Technique
Bone Axe — Payoff</x:v>
      </x:c>
      <x:c r="E33" s="12" t="str">
        <x:v>1 / attack
2 / skill
3 / attack</x:v>
      </x:c>
      <x:c r="F33" s="12" t="str">
        <x:v>d709275896fa</x:v>
      </x:c>
      <x:c r="G33" s="12" t="n">
        <x:v>1</x:v>
      </x:c>
    </x:row>
    <x:row r="34" ht="39.599998474121094" hidden="0" customHeight="1">
      <x:c r="A34" s="12" t="str">
        <x:v>Bone Axe (Broken)</x:v>
      </x:c>
      <x:c r="B34" s="12" t="str">
        <x:v>BONE AXE (BROKEN)</x:v>
      </x:c>
      <x:c r="C34" s="12" t="n">
        <x:v>3</x:v>
      </x:c>
      <x:c r="D34" s="12" t="str">
        <x:v>Bone Axe (Broken) — Opening Strike
Bone Axe (Broken) — Technique
Bone Axe (Broken) — Payoff</x:v>
      </x:c>
      <x:c r="E34" s="12" t="str">
        <x:v>2 / attack
1 / skill
4 / attack</x:v>
      </x:c>
      <x:c r="F34" s="12" t="str">
        <x:v>c59538da094e</x:v>
      </x:c>
      <x:c r="G34" s="12" t="n">
        <x:v>1</x:v>
      </x:c>
    </x:row>
    <x:row r="35" ht="39.599998474121094" hidden="0" customHeight="1">
      <x:c r="A35" s="12" t="str">
        <x:v>Bone Blade</x:v>
      </x:c>
      <x:c r="B35" s="12" t="str">
        <x:v>BONE BLADE</x:v>
      </x:c>
      <x:c r="C35" s="12" t="n">
        <x:v>3</x:v>
      </x:c>
      <x:c r="D35" s="12" t="str">
        <x:v>Bone Blade — Opening Cut
Bone Blade — Technique
Bone Blade — Payoff</x:v>
      </x:c>
      <x:c r="E35" s="12" t="str">
        <x:v>1 / attack
2 / skill
2 / reaction</x:v>
      </x:c>
      <x:c r="F35" s="12" t="str">
        <x:v>68f03cf5cb52</x:v>
      </x:c>
      <x:c r="G35" s="12" t="n">
        <x:v>1</x:v>
      </x:c>
    </x:row>
    <x:row r="36" ht="39.599998474121094" hidden="0" customHeight="1">
      <x:c r="A36" s="12" t="str">
        <x:v>Bone Blade (Broken)</x:v>
      </x:c>
      <x:c r="B36" s="12" t="str">
        <x:v>BONE BLADE (BROKEN)</x:v>
      </x:c>
      <x:c r="C36" s="12" t="n">
        <x:v>3</x:v>
      </x:c>
      <x:c r="D36" s="12" t="str">
        <x:v>Bone Blade (Broken) — Opening Cut
Bone Blade (Broken) — Technique
Bone Blade (Broken) — Payoff</x:v>
      </x:c>
      <x:c r="E36" s="12" t="str">
        <x:v>2 / attack
1 / skill
3 / reaction</x:v>
      </x:c>
      <x:c r="F36" s="12" t="str">
        <x:v>efa5c521863d</x:v>
      </x:c>
      <x:c r="G36" s="12" t="n">
        <x:v>1</x:v>
      </x:c>
    </x:row>
    <x:row r="37" ht="39.599998474121094" hidden="0" customHeight="1">
      <x:c r="A37" s="12" t="str">
        <x:v>Bone Club</x:v>
      </x:c>
      <x:c r="B37" s="12" t="str">
        <x:v>BONE CLUB</x:v>
      </x:c>
      <x:c r="C37" s="12" t="n">
        <x:v>3</x:v>
      </x:c>
      <x:c r="D37" s="12" t="str">
        <x:v>Bone Club — Opening Strike
Bone Club — Technique
Bone Club — Payoff</x:v>
      </x:c>
      <x:c r="E37" s="12" t="str">
        <x:v>1 / attack
2 / skill
2 / reaction</x:v>
      </x:c>
      <x:c r="F37" s="12" t="str">
        <x:v>c77de0d308c4</x:v>
      </x:c>
      <x:c r="G37" s="12" t="n">
        <x:v>1</x:v>
      </x:c>
    </x:row>
    <x:row r="38" ht="39.599998474121094" hidden="0" customHeight="1">
      <x:c r="A38" s="12" t="str">
        <x:v>Bone Darts</x:v>
      </x:c>
      <x:c r="B38" s="12" t="str">
        <x:v>BONE DARTS</x:v>
      </x:c>
      <x:c r="C38" s="12" t="n">
        <x:v>3</x:v>
      </x:c>
      <x:c r="D38" s="12" t="str">
        <x:v>Bone Darts — Opening Strike
Bone Darts — Technique
Bone Darts — Payoff</x:v>
      </x:c>
      <x:c r="E38" s="12" t="str">
        <x:v>1 / attack
2 / skill
2 / attack</x:v>
      </x:c>
      <x:c r="F38" s="12" t="str">
        <x:v>7c8bee9e7323</x:v>
      </x:c>
      <x:c r="G38" s="12" t="n">
        <x:v>1</x:v>
      </x:c>
    </x:row>
    <x:row r="39" ht="26.399999618530273" hidden="0" customHeight="1">
      <x:c r="A39" s="12" t="str">
        <x:v>Bone Darts (Broken)</x:v>
      </x:c>
      <x:c r="B39" s="12" t="str">
        <x:v>BONE DARTS (BROKEN)</x:v>
      </x:c>
      <x:c r="C39" s="12" t="n">
        <x:v>2</x:v>
      </x:c>
      <x:c r="D39" s="12" t="str">
        <x:v>Bone Darts (Broken) — Use
Bone Darts (Broken) — Contingency</x:v>
      </x:c>
      <x:c r="E39" s="12" t="str">
        <x:v>1 / skill
1 / reaction</x:v>
      </x:c>
      <x:c r="F39" s="12" t="str">
        <x:v>b69fcfbacdbe</x:v>
      </x:c>
      <x:c r="G39" s="12" t="n">
        <x:v>1</x:v>
      </x:c>
    </x:row>
    <x:row r="40" ht="26.399999618530273" hidden="0" customHeight="1">
      <x:c r="A40" s="12" t="str">
        <x:v>Bone Earrings</x:v>
      </x:c>
      <x:c r="B40" s="12" t="str">
        <x:v>BONE EARRINGS</x:v>
      </x:c>
      <x:c r="C40" s="12" t="n">
        <x:v>2</x:v>
      </x:c>
      <x:c r="D40" s="12" t="str">
        <x:v>Bone Earrings — Omen
Bone Earrings — Glimmer</x:v>
      </x:c>
      <x:c r="E40" s="12" t="str">
        <x:v>0 / skill
0 / reaction</x:v>
      </x:c>
      <x:c r="F40" s="12" t="str">
        <x:v>7560334c1598</x:v>
      </x:c>
      <x:c r="G40" s="12" t="n">
        <x:v>1</x:v>
      </x:c>
    </x:row>
    <x:row r="41" ht="39.599998474121094" hidden="0" customHeight="1">
      <x:c r="A41" s="12" t="str">
        <x:v>Bone Knife</x:v>
      </x:c>
      <x:c r="B41" s="12" t="str">
        <x:v>BONE DAGGER</x:v>
      </x:c>
      <x:c r="C41" s="12" t="n">
        <x:v>3</x:v>
      </x:c>
      <x:c r="D41" s="12" t="str">
        <x:v>Bone Knife — Opening Cut
Bone Knife — Technique
Bone Knife — Payoff</x:v>
      </x:c>
      <x:c r="E41" s="12" t="str">
        <x:v>0 / attack
1 / skill
2 / attack</x:v>
      </x:c>
      <x:c r="F41" s="12" t="str">
        <x:v>06858ef4a581</x:v>
      </x:c>
      <x:c r="G41" s="12" t="n">
        <x:v>1</x:v>
      </x:c>
    </x:row>
    <x:row r="42" ht="39.599998474121094" hidden="0" customHeight="1">
      <x:c r="A42" s="12" t="str">
        <x:v>Bone Pickaxe</x:v>
      </x:c>
      <x:c r="B42" s="12" t="str">
        <x:v>BONE PICKAXE</x:v>
      </x:c>
      <x:c r="C42" s="12" t="n">
        <x:v>3</x:v>
      </x:c>
      <x:c r="D42" s="12" t="str">
        <x:v>Bone Pickaxe — Opening Strike
Bone Pickaxe — Technique
Bone Pickaxe — Payoff</x:v>
      </x:c>
      <x:c r="E42" s="12" t="str">
        <x:v>1 / attack
1 / skill
3 / attack</x:v>
      </x:c>
      <x:c r="F42" s="12" t="str">
        <x:v>e8a2798741da</x:v>
      </x:c>
      <x:c r="G42" s="12" t="n">
        <x:v>1</x:v>
      </x:c>
    </x:row>
    <x:row r="43" ht="39.599998474121094" hidden="0" customHeight="1">
      <x:c r="A43" s="12" t="str">
        <x:v>Bone Sickle</x:v>
      </x:c>
      <x:c r="B43" s="12" t="str">
        <x:v>BONE SICKLE</x:v>
      </x:c>
      <x:c r="C43" s="12" t="n">
        <x:v>3</x:v>
      </x:c>
      <x:c r="D43" s="12" t="str">
        <x:v>Bone Sickle — Opening Strike
Bone Sickle — Technique
Bone Sickle — Payoff</x:v>
      </x:c>
      <x:c r="E43" s="12" t="str">
        <x:v>1 / attack
2 / skill
2 / attack</x:v>
      </x:c>
      <x:c r="F43" s="12" t="str">
        <x:v>8fe607e59adb</x:v>
      </x:c>
      <x:c r="G43" s="12" t="n">
        <x:v>1</x:v>
      </x:c>
    </x:row>
    <x:row r="44" ht="26.399999618530273" hidden="0" customHeight="1">
      <x:c r="A44" s="12" t="str">
        <x:v>Boss Mehndi</x:v>
      </x:c>
      <x:c r="B44" s="12" t="str">
        <x:v>BOSS MEHNDI</x:v>
      </x:c>
      <x:c r="C44" s="12" t="n">
        <x:v>2</x:v>
      </x:c>
      <x:c r="D44" s="12" t="str">
        <x:v>Boss Mehndi — Use
Boss Mehndi — Contingency</x:v>
      </x:c>
      <x:c r="E44" s="12" t="str">
        <x:v>1 / skill
1 / reaction</x:v>
      </x:c>
      <x:c r="F44" s="12" t="str">
        <x:v>3532794b0d64</x:v>
      </x:c>
      <x:c r="G44" s="12" t="n">
        <x:v>1</x:v>
      </x:c>
    </x:row>
    <x:row r="45" ht="26.399999618530273" hidden="0" customHeight="1">
      <x:c r="A45" s="12" t="str">
        <x:v>Brain Mint</x:v>
      </x:c>
      <x:c r="B45" s="12" t="str">
        <x:v>BRAIN MINT</x:v>
      </x:c>
      <x:c r="C45" s="12" t="n">
        <x:v>2</x:v>
      </x:c>
      <x:c r="D45" s="12" t="str">
        <x:v>Brain Mint — Use
Brain Mint — Contingency</x:v>
      </x:c>
      <x:c r="E45" s="12" t="str">
        <x:v>0 / skill
1 / reaction</x:v>
      </x:c>
      <x:c r="F45" s="12" t="str">
        <x:v>d3ac6c02d74a</x:v>
      </x:c>
      <x:c r="G45" s="12" t="n">
        <x:v>1</x:v>
      </x:c>
    </x:row>
    <x:row r="46" ht="26.399999618530273" hidden="0" customHeight="1">
      <x:c r="A46" s="12" t="str">
        <x:v>Bug Trap</x:v>
      </x:c>
      <x:c r="B46" s="12" t="str">
        <x:v>BUG TRAP</x:v>
      </x:c>
      <x:c r="C46" s="12" t="n">
        <x:v>2</x:v>
      </x:c>
      <x:c r="D46" s="12" t="str">
        <x:v>Bug Trap — Use
Bug Trap — Contingency</x:v>
      </x:c>
      <x:c r="E46" s="12" t="str">
        <x:v>0 / skill
1 / reaction</x:v>
      </x:c>
      <x:c r="F46" s="12" t="str">
        <x:v>48632a4a6bdd</x:v>
      </x:c>
      <x:c r="G46" s="12" t="n">
        <x:v>1</x:v>
      </x:c>
    </x:row>
    <x:row r="47" ht="39.599998474121094" hidden="0" customHeight="1">
      <x:c r="A47" s="12" t="str">
        <x:v>Calcified Bone Knife</x:v>
      </x:c>
      <x:c r="B47" s="12" t="str">
        <x:v>CALCIFIED BONE DAGGER</x:v>
      </x:c>
      <x:c r="C47" s="12" t="n">
        <x:v>3</x:v>
      </x:c>
      <x:c r="D47" s="12" t="str">
        <x:v>Calcified Bone Knife — Opening Cut
Calcified Bone Knife — Technique
Calcified Bone Knife — Payoff</x:v>
      </x:c>
      <x:c r="E47" s="12" t="str">
        <x:v>0 / attack
2 / skill
2 / attack</x:v>
      </x:c>
      <x:c r="F47" s="12" t="str">
        <x:v>fd8dc5feaa17</x:v>
      </x:c>
      <x:c r="G47" s="12" t="n">
        <x:v>1</x:v>
      </x:c>
    </x:row>
    <x:row r="48" ht="26.399999618530273" hidden="0" customHeight="1">
      <x:c r="A48" s="12" t="str">
        <x:v>Calcified Digging Claw</x:v>
      </x:c>
      <x:c r="B48" s="12" t="str">
        <x:v>CALCIFIED DIGGING CLAW</x:v>
      </x:c>
      <x:c r="C48" s="12" t="n">
        <x:v>2</x:v>
      </x:c>
      <x:c r="D48" s="12" t="str">
        <x:v>Calcified Digging Claw — Use
Calcified Digging Claw — Contingency</x:v>
      </x:c>
      <x:c r="E48" s="12" t="str">
        <x:v>1 / skill
1 / reaction</x:v>
      </x:c>
      <x:c r="F48" s="12" t="str">
        <x:v>3e1b6c44a8a3</x:v>
      </x:c>
      <x:c r="G48" s="12" t="n">
        <x:v>1</x:v>
      </x:c>
    </x:row>
    <x:row r="49" ht="39.599998474121094" hidden="0" customHeight="1">
      <x:c r="A49" s="12" t="str">
        <x:v>Calcified Gramber Blade</x:v>
      </x:c>
      <x:c r="B49" s="12" t="str">
        <x:v>CALCIFIED GRAMBER BLADE</x:v>
      </x:c>
      <x:c r="C49" s="12" t="n">
        <x:v>3</x:v>
      </x:c>
      <x:c r="D49" s="12" t="str">
        <x:v>Calcified Gramber Blade — Opening Cut
Calcified Gramber Blade — Technique
Calcified Gramber Blade — Payoff</x:v>
      </x:c>
      <x:c r="E49" s="12" t="str">
        <x:v>1 / attack
2 / skill
2 / reaction</x:v>
      </x:c>
      <x:c r="F49" s="12" t="str">
        <x:v>9a76f64e9f8e</x:v>
      </x:c>
      <x:c r="G49" s="12" t="n">
        <x:v>1</x:v>
      </x:c>
    </x:row>
    <x:row r="50" ht="26.399999618530273" hidden="0" customHeight="1">
      <x:c r="A50" s="12" t="str">
        <x:v>Calcified Greaves</x:v>
      </x:c>
      <x:c r="B50" s="12" t="str">
        <x:v>CALCIFIED GREAVES</x:v>
      </x:c>
      <x:c r="C50" s="12" t="n">
        <x:v>2</x:v>
      </x:c>
      <x:c r="D50" s="12" t="str">
        <x:v>Calcified Greaves — Brace
Calcified Greaves — Fitted Plate</x:v>
      </x:c>
      <x:c r="E50" s="12" t="str">
        <x:v>1 / skill
1 / reaction</x:v>
      </x:c>
      <x:c r="F50" s="12" t="str">
        <x:v>c3d5e73164e4</x:v>
      </x:c>
      <x:c r="G50" s="12" t="n">
        <x:v>1</x:v>
      </x:c>
    </x:row>
    <x:row r="51" ht="39.599998474121094" hidden="0" customHeight="1">
      <x:c r="A51" s="12" t="str">
        <x:v>Calcified Juggernaut Knife</x:v>
      </x:c>
      <x:c r="B51" s="12" t="str">
        <x:v>CALCIFIED JUGGERNAUT DAGGER</x:v>
      </x:c>
      <x:c r="C51" s="12" t="n">
        <x:v>3</x:v>
      </x:c>
      <x:c r="D51" s="12" t="str">
        <x:v>Calcified Juggernaut Knife — Opening Cut
Calcified Juggernaut Knife — Technique
Calcified Juggernaut Knife — Payoff</x:v>
      </x:c>
      <x:c r="E51" s="12" t="str">
        <x:v>0 / attack
2 / skill
2 / attack</x:v>
      </x:c>
      <x:c r="F51" s="12" t="str">
        <x:v>769c09813234</x:v>
      </x:c>
      <x:c r="G51" s="12" t="n">
        <x:v>1</x:v>
      </x:c>
    </x:row>
    <x:row r="52" ht="26.399999618530273" hidden="0" customHeight="1">
      <x:c r="A52" s="12" t="str">
        <x:v>Calcified Shoulder Pads</x:v>
      </x:c>
      <x:c r="B52" s="12" t="str">
        <x:v>CALCIFIED SHOULDER PADS</x:v>
      </x:c>
      <x:c r="C52" s="12" t="n">
        <x:v>2</x:v>
      </x:c>
      <x:c r="D52" s="12" t="str">
        <x:v>Calcified Shoulder Pads — Brace
Calcified Shoulder Pads — Fitted Plate</x:v>
      </x:c>
      <x:c r="E52" s="12" t="str">
        <x:v>1 / skill
1 / reaction</x:v>
      </x:c>
      <x:c r="F52" s="12" t="str">
        <x:v>10fb0a144aae</x:v>
      </x:c>
      <x:c r="G52" s="12" t="n">
        <x:v>1</x:v>
      </x:c>
    </x:row>
    <x:row r="53" ht="39.599998474121094" hidden="0" customHeight="1">
      <x:c r="A53" s="12" t="str">
        <x:v>Calcified Zanbato</x:v>
      </x:c>
      <x:c r="B53" s="12" t="str">
        <x:v>CALCIFIED ZANBATO</x:v>
      </x:c>
      <x:c r="C53" s="12" t="n">
        <x:v>3</x:v>
      </x:c>
      <x:c r="D53" s="12" t="str">
        <x:v>Calcified Zanbato — Opening Strike
Calcified Zanbato — Technique
Calcified Zanbato — Payoff</x:v>
      </x:c>
      <x:c r="E53" s="12" t="str">
        <x:v>2 / attack
2 / skill
3 / attack</x:v>
      </x:c>
      <x:c r="F53" s="12" t="str">
        <x:v>991ab6e1c605</x:v>
      </x:c>
      <x:c r="G53" s="12" t="n">
        <x:v>1</x:v>
      </x:c>
    </x:row>
    <x:row r="54" ht="26.399999618530273" hidden="0" customHeight="1">
      <x:c r="A54" s="12" t="str">
        <x:v>Cat Eye Circlet</x:v>
      </x:c>
      <x:c r="B54" s="12" t="str">
        <x:v>CAT EYE CIRCLET</x:v>
      </x:c>
      <x:c r="C54" s="12" t="n">
        <x:v>2</x:v>
      </x:c>
      <x:c r="D54" s="12" t="str">
        <x:v>Cat Eye Circlet — Omen
Cat Eye Circlet — Glimmer</x:v>
      </x:c>
      <x:c r="E54" s="12" t="str">
        <x:v>0 / skill
0 / reaction</x:v>
      </x:c>
      <x:c r="F54" s="12" t="str">
        <x:v>10ee12d0174b</x:v>
      </x:c>
      <x:c r="G54" s="12" t="n">
        <x:v>1</x:v>
      </x:c>
    </x:row>
    <x:row r="55" ht="39.599998474121094" hidden="0" customHeight="1">
      <x:c r="A55" s="12" t="str">
        <x:v>Catgut Bow</x:v>
      </x:c>
      <x:c r="B55" s="12" t="str">
        <x:v>CAT GUT BOW</x:v>
      </x:c>
      <x:c r="C55" s="12" t="n">
        <x:v>3</x:v>
      </x:c>
      <x:c r="D55" s="12" t="str">
        <x:v>Catgut Bow — Opening Strike
Catgut Bow — Technique
Catgut Bow — Payoff</x:v>
      </x:c>
      <x:c r="E55" s="12" t="str">
        <x:v>1 / attack
1 / skill
2 / attack</x:v>
      </x:c>
      <x:c r="F55" s="12" t="str">
        <x:v>7adca900437a</x:v>
      </x:c>
      <x:c r="G55" s="12" t="n">
        <x:v>1</x:v>
      </x:c>
    </x:row>
    <x:row r="56" ht="26.399999618530273" hidden="0" customHeight="1">
      <x:c r="A56" s="12" t="str">
        <x:v>Century Greaves</x:v>
      </x:c>
      <x:c r="B56" s="12" t="str">
        <x:v>CENTURY GREAVES</x:v>
      </x:c>
      <x:c r="C56" s="12" t="n">
        <x:v>2</x:v>
      </x:c>
      <x:c r="D56" s="12" t="str">
        <x:v>Century Greaves — Brace
Century Greaves — Fitted Plate</x:v>
      </x:c>
      <x:c r="E56" s="12" t="str">
        <x:v>1 / skill
2 / reaction</x:v>
      </x:c>
      <x:c r="F56" s="12" t="str">
        <x:v>09410d277bd4</x:v>
      </x:c>
      <x:c r="G56" s="12" t="n">
        <x:v>1</x:v>
      </x:c>
    </x:row>
    <x:row r="57" ht="26.399999618530273" hidden="0" customHeight="1">
      <x:c r="A57" s="12" t="str">
        <x:v>Century Shoulder Pads</x:v>
      </x:c>
      <x:c r="B57" s="12" t="str">
        <x:v>CENTURY SHOULDER PADS</x:v>
      </x:c>
      <x:c r="C57" s="12" t="n">
        <x:v>2</x:v>
      </x:c>
      <x:c r="D57" s="12" t="str">
        <x:v>Century Shoulder Pads — Brace
Century Shoulder Pads — Fitted Plate</x:v>
      </x:c>
      <x:c r="E57" s="12" t="str">
        <x:v>1 / skill
1 / reaction</x:v>
      </x:c>
      <x:c r="F57" s="12" t="str">
        <x:v>424ece8a16e7</x:v>
      </x:c>
      <x:c r="G57" s="12" t="n">
        <x:v>1</x:v>
      </x:c>
    </x:row>
    <x:row r="58" ht="26.399999618530273" hidden="0" customHeight="1">
      <x:c r="A58" s="12" t="str">
        <x:v>Chentu</x:v>
      </x:c>
      <x:c r="B58" s="12" t="str">
        <x:v>CHENTU</x:v>
      </x:c>
      <x:c r="C58" s="12" t="n">
        <x:v>2</x:v>
      </x:c>
      <x:c r="D58" s="12" t="str">
        <x:v>Chentu — Use
Chentu — Contingency</x:v>
      </x:c>
      <x:c r="E58" s="12" t="str">
        <x:v>1 / skill
1 / reaction</x:v>
      </x:c>
      <x:c r="F58" s="12" t="str">
        <x:v>9f651fdd0de9</x:v>
      </x:c>
      <x:c r="G58" s="12" t="n">
        <x:v>1</x:v>
      </x:c>
    </x:row>
    <x:row r="59" ht="39.599998474121094" hidden="0" customHeight="1">
      <x:c r="A59" s="12" t="str">
        <x:v>Claw Head Arrow</x:v>
      </x:c>
      <x:c r="B59" s="12" t="str">
        <x:v>CLAW HEAD ARROW</x:v>
      </x:c>
      <x:c r="C59" s="12" t="n">
        <x:v>3</x:v>
      </x:c>
      <x:c r="D59" s="12" t="str">
        <x:v>Claw Head Arrow — Opening Strike
Claw Head Arrow — Technique
Claw Head Arrow — Payoff</x:v>
      </x:c>
      <x:c r="E59" s="12" t="str">
        <x:v>1 / attack
1 / skill
2 / attack</x:v>
      </x:c>
      <x:c r="F59" s="12" t="str">
        <x:v>143dcce3440b</x:v>
      </x:c>
      <x:c r="G59" s="12" t="n">
        <x:v>1</x:v>
      </x:c>
    </x:row>
    <x:row r="60" ht="26.399999618530273" hidden="0" customHeight="1">
      <x:c r="A60" s="12" t="str">
        <x:v>Cloth Armor Set</x:v>
      </x:c>
      <x:c r="B60" s="12" t="str">
        <x:v>CLOTH ARMOR SET</x:v>
      </x:c>
      <x:c r="C60" s="12" t="n">
        <x:v>2</x:v>
      </x:c>
      <x:c r="D60" s="12" t="str">
        <x:v>Cloth Armor Set — Brace
Cloth Armor Set — Setline</x:v>
      </x:c>
      <x:c r="E60" s="12" t="str">
        <x:v>1 / skill
2 / reaction</x:v>
      </x:c>
      <x:c r="F60" s="12" t="str">
        <x:v>8d4063220705</x:v>
      </x:c>
      <x:c r="G60" s="12" t="n">
        <x:v>1</x:v>
      </x:c>
    </x:row>
    <x:row r="61" ht="26.399999618530273" hidden="0" customHeight="1">
      <x:c r="A61" s="12" t="str">
        <x:v>Cloth Bracers</x:v>
      </x:c>
      <x:c r="B61" s="12" t="str">
        <x:v>CLOTH BRACERS</x:v>
      </x:c>
      <x:c r="C61" s="12" t="n">
        <x:v>2</x:v>
      </x:c>
      <x:c r="D61" s="12" t="str">
        <x:v>Cloth Bracers — Brace
Cloth Bracers — Fitted Plate</x:v>
      </x:c>
      <x:c r="E61" s="12" t="str">
        <x:v>1 / skill
1 / reaction</x:v>
      </x:c>
      <x:c r="F61" s="12" t="str">
        <x:v>f1e2b02e4359</x:v>
      </x:c>
      <x:c r="G61" s="12" t="n">
        <x:v>1</x:v>
      </x:c>
    </x:row>
    <x:row r="62" ht="26.399999618530273" hidden="0" customHeight="1">
      <x:c r="A62" s="12" t="str">
        <x:v>Cloth Galoshes</x:v>
      </x:c>
      <x:c r="B62" s="12" t="str">
        <x:v>CLOTH GALOSHES</x:v>
      </x:c>
      <x:c r="C62" s="12" t="n">
        <x:v>2</x:v>
      </x:c>
      <x:c r="D62" s="12" t="str">
        <x:v>Cloth Galoshes — Brace
Cloth Galoshes — Fitted Plate</x:v>
      </x:c>
      <x:c r="E62" s="12" t="str">
        <x:v>1 / skill
2 / reaction</x:v>
      </x:c>
      <x:c r="F62" s="12" t="str">
        <x:v>d890b0768156</x:v>
      </x:c>
      <x:c r="G62" s="12" t="n">
        <x:v>1</x:v>
      </x:c>
    </x:row>
    <x:row r="63" ht="26.399999618530273" hidden="0" customHeight="1">
      <x:c r="A63" s="12" t="str">
        <x:v>Cloth Leggings</x:v>
      </x:c>
      <x:c r="B63" s="12" t="str">
        <x:v>CLOTH LEGGINGS</x:v>
      </x:c>
      <x:c r="C63" s="12" t="n">
        <x:v>2</x:v>
      </x:c>
      <x:c r="D63" s="12" t="str">
        <x:v>Cloth Leggings — Brace
Cloth Leggings — Fitted Plate</x:v>
      </x:c>
      <x:c r="E63" s="12" t="str">
        <x:v>1 / skill
1 / reaction</x:v>
      </x:c>
      <x:c r="F63" s="12" t="str">
        <x:v>d9900ec1112f</x:v>
      </x:c>
      <x:c r="G63" s="12" t="n">
        <x:v>1</x:v>
      </x:c>
    </x:row>
    <x:row r="64" ht="26.399999618530273" hidden="0" customHeight="1">
      <x:c r="A64" s="12" t="str">
        <x:v>Cloth Pants</x:v>
      </x:c>
      <x:c r="B64" s="12" t="str">
        <x:v>CLOTH PANTS</x:v>
      </x:c>
      <x:c r="C64" s="12" t="n">
        <x:v>2</x:v>
      </x:c>
      <x:c r="D64" s="12" t="str">
        <x:v>Cloth Pants — Brace
Cloth Pants — Fitted Plate</x:v>
      </x:c>
      <x:c r="E64" s="12" t="str">
        <x:v>1 / skill
2 / reaction</x:v>
      </x:c>
      <x:c r="F64" s="12" t="str">
        <x:v>67d7568e35c2</x:v>
      </x:c>
      <x:c r="G64" s="12" t="n">
        <x:v>1</x:v>
      </x:c>
    </x:row>
    <x:row r="65" ht="26.399999618530273" hidden="0" customHeight="1">
      <x:c r="A65" s="12" t="str">
        <x:v>Cloth Robes</x:v>
      </x:c>
      <x:c r="B65" s="12" t="str">
        <x:v>CLOTH ROBES</x:v>
      </x:c>
      <x:c r="C65" s="12" t="n">
        <x:v>2</x:v>
      </x:c>
      <x:c r="D65" s="12" t="str">
        <x:v>Cloth Robes — Brace
Cloth Robes — Fitted Plate</x:v>
      </x:c>
      <x:c r="E65" s="12" t="str">
        <x:v>1 / skill
1 / reaction</x:v>
      </x:c>
      <x:c r="F65" s="12" t="str">
        <x:v>4a9fc6e1578d</x:v>
      </x:c>
      <x:c r="G65" s="12" t="n">
        <x:v>1</x:v>
      </x:c>
    </x:row>
    <x:row r="66" ht="26.399999618530273" hidden="0" customHeight="1">
      <x:c r="A66" s="12" t="str">
        <x:v>Cloth Turban</x:v>
      </x:c>
      <x:c r="B66" s="12" t="str">
        <x:v>CLOTH TURBAN</x:v>
      </x:c>
      <x:c r="C66" s="12" t="n">
        <x:v>2</x:v>
      </x:c>
      <x:c r="D66" s="12" t="str">
        <x:v>Cloth Turban — Brace
Cloth Turban — Fitted Plate</x:v>
      </x:c>
      <x:c r="E66" s="12" t="str">
        <x:v>1 / skill
2 / reaction</x:v>
      </x:c>
      <x:c r="F66" s="12" t="str">
        <x:v>80032426d990</x:v>
      </x:c>
      <x:c r="G66" s="12" t="n">
        <x:v>1</x:v>
      </x:c>
    </x:row>
    <x:row r="67" ht="39.599998474121094" hidden="0" customHeight="1">
      <x:c r="A67" s="12" t="str">
        <x:v>Counterweighted Axe</x:v>
      </x:c>
      <x:c r="B67" s="12" t="str">
        <x:v>COUNTERWEIGHTED AXE</x:v>
      </x:c>
      <x:c r="C67" s="12" t="n">
        <x:v>3</x:v>
      </x:c>
      <x:c r="D67" s="12" t="str">
        <x:v>Counterweighted Axe — Opening Strike
Counterweighted Axe — Technique
Counterweighted Axe — Payoff</x:v>
      </x:c>
      <x:c r="E67" s="12" t="str">
        <x:v>1 / attack
1 / skill
3 / attack</x:v>
      </x:c>
      <x:c r="F67" s="12" t="str">
        <x:v>dc140c825921</x:v>
      </x:c>
      <x:c r="G67" s="12" t="n">
        <x:v>1</x:v>
      </x:c>
    </x:row>
    <x:row r="68" ht="26.399999618530273" hidden="0" customHeight="1">
      <x:c r="A68" s="12" t="str">
        <x:v>Crest Crown</x:v>
      </x:c>
      <x:c r="B68" s="12" t="str">
        <x:v>CREST CROWN</x:v>
      </x:c>
      <x:c r="C68" s="12" t="n">
        <x:v>2</x:v>
      </x:c>
      <x:c r="D68" s="12" t="str">
        <x:v>Crest Crown — Omen
Crest Crown — Glimmer</x:v>
      </x:c>
      <x:c r="E68" s="12" t="str">
        <x:v>0 / skill
0 / reaction</x:v>
      </x:c>
      <x:c r="F68" s="12" t="str">
        <x:v>8fea4fc1c8eb</x:v>
      </x:c>
      <x:c r="G68" s="12" t="n">
        <x:v>1</x:v>
      </x:c>
    </x:row>
    <x:row r="69" ht="26.399999618530273" hidden="0" customHeight="1">
      <x:c r="A69" s="12" t="str">
        <x:v>Crimson Rose</x:v>
      </x:c>
      <x:c r="B69" s="12" t="str">
        <x:v>CRIMSON ROSE</x:v>
      </x:c>
      <x:c r="C69" s="12" t="n">
        <x:v>2</x:v>
      </x:c>
      <x:c r="D69" s="12" t="str">
        <x:v>Crimson Rose — Use
Crimson Rose — Contingency</x:v>
      </x:c>
      <x:c r="E69" s="12" t="str">
        <x:v>1 / skill
1 / reaction</x:v>
      </x:c>
      <x:c r="F69" s="12" t="str">
        <x:v>096d13e6b815</x:v>
      </x:c>
      <x:c r="G69" s="12" t="n">
        <x:v>1</x:v>
      </x:c>
    </x:row>
    <x:row r="70" ht="26.399999618530273" hidden="0" customHeight="1">
      <x:c r="A70" s="12" t="str">
        <x:v>Cycloid Scale Armor Set</x:v>
      </x:c>
      <x:c r="B70" s="12" t="str">
        <x:v>CYCLOID SCALE ARMOR SET</x:v>
      </x:c>
      <x:c r="C70" s="12" t="n">
        <x:v>2</x:v>
      </x:c>
      <x:c r="D70" s="12" t="str">
        <x:v>Cycloid Scale Armor Set — Brace
Cycloid Scale Armor Set — Setline</x:v>
      </x:c>
      <x:c r="E70" s="12" t="str">
        <x:v>1 / skill
2 / reaction</x:v>
      </x:c>
      <x:c r="F70" s="12" t="str">
        <x:v>576af23bc6f6</x:v>
      </x:c>
      <x:c r="G70" s="12" t="n">
        <x:v>1</x:v>
      </x:c>
    </x:row>
    <x:row r="71" ht="26.399999618530273" hidden="0" customHeight="1">
      <x:c r="A71" s="12" t="str">
        <x:v>Cycloid Scale Hood</x:v>
      </x:c>
      <x:c r="B71" s="12" t="str">
        <x:v>CYCLOID SCALE HOOD</x:v>
      </x:c>
      <x:c r="C71" s="12" t="n">
        <x:v>2</x:v>
      </x:c>
      <x:c r="D71" s="12" t="str">
        <x:v>Cycloid Scale Hood — Brace
Cycloid Scale Hood — Fitted Plate</x:v>
      </x:c>
      <x:c r="E71" s="12" t="str">
        <x:v>1 / skill
1 / reaction</x:v>
      </x:c>
      <x:c r="F71" s="12" t="str">
        <x:v>77b1bcf01116</x:v>
      </x:c>
      <x:c r="G71" s="12" t="n">
        <x:v>1</x:v>
      </x:c>
    </x:row>
    <x:row r="72" ht="26.399999618530273" hidden="0" customHeight="1">
      <x:c r="A72" s="12" t="str">
        <x:v>Cycloid Scale Jacket</x:v>
      </x:c>
      <x:c r="B72" s="12" t="str">
        <x:v>CYCLOID SCALE JACKET</x:v>
      </x:c>
      <x:c r="C72" s="12" t="n">
        <x:v>2</x:v>
      </x:c>
      <x:c r="D72" s="12" t="str">
        <x:v>Cycloid Scale Jacket — Brace
Cycloid Scale Jacket — Fitted Plate</x:v>
      </x:c>
      <x:c r="E72" s="12" t="str">
        <x:v>1 / skill
2 / reaction</x:v>
      </x:c>
      <x:c r="F72" s="12" t="str">
        <x:v>2486944c1a70</x:v>
      </x:c>
      <x:c r="G72" s="12" t="n">
        <x:v>1</x:v>
      </x:c>
    </x:row>
    <x:row r="73" ht="26.399999618530273" hidden="0" customHeight="1">
      <x:c r="A73" s="12" t="str">
        <x:v>Cycloid Scale Shoes</x:v>
      </x:c>
      <x:c r="B73" s="12" t="str">
        <x:v>CYCLOID SCALE SHOES</x:v>
      </x:c>
      <x:c r="C73" s="12" t="n">
        <x:v>2</x:v>
      </x:c>
      <x:c r="D73" s="12" t="str">
        <x:v>Cycloid Scale Shoes — Brace
Cycloid Scale Shoes — Fitted Plate</x:v>
      </x:c>
      <x:c r="E73" s="12" t="str">
        <x:v>1 / skill
1 / reaction</x:v>
      </x:c>
      <x:c r="F73" s="12" t="str">
        <x:v>b1180d8567d7</x:v>
      </x:c>
      <x:c r="G73" s="12" t="n">
        <x:v>1</x:v>
      </x:c>
    </x:row>
    <x:row r="74" ht="26.399999618530273" hidden="0" customHeight="1">
      <x:c r="A74" s="12" t="str">
        <x:v>Cycloid Scale Skirt</x:v>
      </x:c>
      <x:c r="B74" s="12" t="str">
        <x:v>CYCLOID SCALE SKIRT</x:v>
      </x:c>
      <x:c r="C74" s="12" t="n">
        <x:v>2</x:v>
      </x:c>
      <x:c r="D74" s="12" t="str">
        <x:v>Cycloid Scale Skirt — Brace
Cycloid Scale Skirt — Fitted Plate</x:v>
      </x:c>
      <x:c r="E74" s="12" t="str">
        <x:v>1 / skill
2 / reaction</x:v>
      </x:c>
      <x:c r="F74" s="12" t="str">
        <x:v>d85980771507</x:v>
      </x:c>
      <x:c r="G74" s="12" t="n">
        <x:v>1</x:v>
      </x:c>
    </x:row>
    <x:row r="75" ht="26.399999618530273" hidden="0" customHeight="1">
      <x:c r="A75" s="12" t="str">
        <x:v>Cycloid Scale Sleeves</x:v>
      </x:c>
      <x:c r="B75" s="12" t="str">
        <x:v>CYCLOID SCALE SLEEVES</x:v>
      </x:c>
      <x:c r="C75" s="12" t="n">
        <x:v>2</x:v>
      </x:c>
      <x:c r="D75" s="12" t="str">
        <x:v>Cycloid Scale Sleeves — Brace
Cycloid Scale Sleeves — Fitted Plate</x:v>
      </x:c>
      <x:c r="E75" s="12" t="str">
        <x:v>1 / skill
1 / reaction</x:v>
      </x:c>
      <x:c r="F75" s="12" t="str">
        <x:v>747d805a6ff0</x:v>
      </x:c>
      <x:c r="G75" s="12" t="n">
        <x:v>1</x:v>
      </x:c>
    </x:row>
    <x:row r="76" ht="26.399999618530273" hidden="0" customHeight="1">
      <x:c r="A76" s="12" t="str">
        <x:v>D.B.K. Errant Badge</x:v>
      </x:c>
      <x:c r="B76" s="12" t="str">
        <x:v>D.B.K. ERRANT BADGE</x:v>
      </x:c>
      <x:c r="C76" s="12" t="n">
        <x:v>2</x:v>
      </x:c>
      <x:c r="D76" s="12" t="str">
        <x:v>D.B.K. Errant Badge — Omen
D.B.K. Errant Badge — Glimmer</x:v>
      </x:c>
      <x:c r="E76" s="12" t="str">
        <x:v>0 / skill
0 / reaction</x:v>
      </x:c>
      <x:c r="F76" s="12" t="str">
        <x:v>056de9f4cc64</x:v>
      </x:c>
      <x:c r="G76" s="12" t="n">
        <x:v>1</x:v>
      </x:c>
    </x:row>
    <x:row r="77" ht="26.399999618530273" hidden="0" customHeight="1">
      <x:c r="A77" s="12" t="str">
        <x:v>Dark Water Vial</x:v>
      </x:c>
      <x:c r="B77" s="12" t="str">
        <x:v>DARK WATER VIAL</x:v>
      </x:c>
      <x:c r="C77" s="12" t="n">
        <x:v>2</x:v>
      </x:c>
      <x:c r="D77" s="12" t="str">
        <x:v>Dark Water Vial — Use
Dark Water Vial — Contingency</x:v>
      </x:c>
      <x:c r="E77" s="12" t="str">
        <x:v>0 / skill
1 / reaction</x:v>
      </x:c>
      <x:c r="F77" s="12" t="str">
        <x:v>dc9dacd56e97</x:v>
      </x:c>
      <x:c r="G77" s="12" t="n">
        <x:v>1</x:v>
      </x:c>
    </x:row>
    <x:row r="78" ht="39.599998474121094" hidden="0" customHeight="1">
      <x:c r="A78" s="12" t="str">
        <x:v>Daydream Knife</x:v>
      </x:c>
      <x:c r="B78" s="12" t="str">
        <x:v>DAYDREAM DAGGER</x:v>
      </x:c>
      <x:c r="C78" s="12" t="n">
        <x:v>3</x:v>
      </x:c>
      <x:c r="D78" s="12" t="str">
        <x:v>Daydream Knife — Opening Cut
Daydream Knife — Technique
Daydream Knife — Payoff</x:v>
      </x:c>
      <x:c r="E78" s="12" t="str">
        <x:v>0 / attack
2 / skill
2 / attack</x:v>
      </x:c>
      <x:c r="F78" s="12" t="str">
        <x:v>3766b191ce83</x:v>
      </x:c>
      <x:c r="G78" s="12" t="n">
        <x:v>1</x:v>
      </x:c>
    </x:row>
    <x:row r="79" ht="26.399999618530273" hidden="0" customHeight="1">
      <x:c r="A79" s="12" t="str">
        <x:v>Death Visage</x:v>
      </x:c>
      <x:c r="B79" s="12" t="str">
        <x:v>DEATH MASK</x:v>
      </x:c>
      <x:c r="C79" s="12" t="n">
        <x:v>2</x:v>
      </x:c>
      <x:c r="D79" s="12" t="str">
        <x:v>Death Visage — Omen
Death Visage — Glimmer</x:v>
      </x:c>
      <x:c r="E79" s="12" t="str">
        <x:v>0 / skill
0 / reaction</x:v>
      </x:c>
      <x:c r="F79" s="12" t="str">
        <x:v>1aea8f6cc351</x:v>
      </x:c>
      <x:c r="G79" s="12" t="n">
        <x:v>1</x:v>
      </x:c>
    </x:row>
    <x:row r="80" ht="26.399999618530273" hidden="0" customHeight="1">
      <x:c r="A80" s="12" t="str">
        <x:v>Death's Wail (Hunt Phase)</x:v>
      </x:c>
      <x:c r="B80" s="12" t="str">
        <x:v>DEATH'S WAIL (HUNT PHASE)</x:v>
      </x:c>
      <x:c r="C80" s="12" t="n">
        <x:v>2</x:v>
      </x:c>
      <x:c r="D80" s="12" t="str">
        <x:v>Death's Wail (Hunt Phase) — Use
Death's Wail (Hunt Phase) — Contingency</x:v>
      </x:c>
      <x:c r="E80" s="12" t="str">
        <x:v>0 / skill
0 / reaction</x:v>
      </x:c>
      <x:c r="F80" s="12" t="str">
        <x:v>d0cb34fd6bd1</x:v>
      </x:c>
      <x:c r="G80" s="12" t="n">
        <x:v>1</x:v>
      </x:c>
    </x:row>
    <x:row r="81" ht="26.399999618530273" hidden="0" customHeight="1">
      <x:c r="A81" s="12" t="str">
        <x:v>Death's Wail (Showdown Phase)</x:v>
      </x:c>
      <x:c r="B81" s="12" t="str">
        <x:v>DEATH'S WAIL (SHOWDOWN PHASE)</x:v>
      </x:c>
      <x:c r="C81" s="12" t="n">
        <x:v>2</x:v>
      </x:c>
      <x:c r="D81" s="12" t="str">
        <x:v>Death's Wail (Showdown Phase) — Use
Death's Wail (Showdown Phase) — Contingency</x:v>
      </x:c>
      <x:c r="E81" s="12" t="str">
        <x:v>1 / skill
1 / reaction</x:v>
      </x:c>
      <x:c r="F81" s="12" t="str">
        <x:v>9229cc6e3ebf</x:v>
      </x:c>
      <x:c r="G81" s="12" t="n">
        <x:v>1</x:v>
      </x:c>
    </x:row>
    <x:row r="82" ht="39.599998474121094" hidden="0" customHeight="1">
      <x:c r="A82" s="12" t="str">
        <x:v>Dense Bone Arrows</x:v>
      </x:c>
      <x:c r="B82" s="12" t="str">
        <x:v>DENSE BONE ARROWS</x:v>
      </x:c>
      <x:c r="C82" s="12" t="n">
        <x:v>3</x:v>
      </x:c>
      <x:c r="D82" s="12" t="str">
        <x:v>Dense Bone Arrows — Opening Strike
Dense Bone Arrows — Technique
Dense Bone Arrows — Payoff</x:v>
      </x:c>
      <x:c r="E82" s="12" t="str">
        <x:v>1 / attack
2 / skill
2 / attack</x:v>
      </x:c>
      <x:c r="F82" s="12" t="str">
        <x:v>43727b075c3b</x:v>
      </x:c>
      <x:c r="G82" s="12" t="n">
        <x:v>1</x:v>
      </x:c>
    </x:row>
    <x:row r="83" ht="39.599998474121094" hidden="0" customHeight="1">
      <x:c r="A83" s="12" t="str">
        <x:v>Denticle Axe</x:v>
      </x:c>
      <x:c r="B83" s="12" t="str">
        <x:v>DENTICLE AXE</x:v>
      </x:c>
      <x:c r="C83" s="12" t="n">
        <x:v>3</x:v>
      </x:c>
      <x:c r="D83" s="12" t="str">
        <x:v>Denticle Axe — Opening Strike
Denticle Axe — Technique
Denticle Axe — Payoff</x:v>
      </x:c>
      <x:c r="E83" s="12" t="str">
        <x:v>1 / attack
2 / skill
3 / attack</x:v>
      </x:c>
      <x:c r="F83" s="12" t="str">
        <x:v>e83e29c9aec9</x:v>
      </x:c>
      <x:c r="G83" s="12" t="n">
        <x:v>1</x:v>
      </x:c>
    </x:row>
    <x:row r="84" ht="26.399999618530273" hidden="0" customHeight="1">
      <x:c r="A84" s="12" t="str">
        <x:v>Digging Claw</x:v>
      </x:c>
      <x:c r="B84" s="12" t="str">
        <x:v>DIGGING CLAW</x:v>
      </x:c>
      <x:c r="C84" s="12" t="n">
        <x:v>2</x:v>
      </x:c>
      <x:c r="D84" s="12" t="str">
        <x:v>Digging Claw — Use
Digging Claw — Contingency</x:v>
      </x:c>
      <x:c r="E84" s="12" t="str">
        <x:v>1 / skill
1 / reaction</x:v>
      </x:c>
      <x:c r="F84" s="12" t="str">
        <x:v>ee56ddc4d045</x:v>
      </x:c>
      <x:c r="G84" s="12" t="n">
        <x:v>1</x:v>
      </x:c>
    </x:row>
    <x:row r="85" ht="26.399999618530273" hidden="0" customHeight="1">
      <x:c r="A85" s="12" t="str">
        <x:v>Dried Acanthus</x:v>
      </x:c>
      <x:c r="B85" s="12" t="str">
        <x:v>DRIED ACANTHUS</x:v>
      </x:c>
      <x:c r="C85" s="12" t="n">
        <x:v>2</x:v>
      </x:c>
      <x:c r="D85" s="12" t="str">
        <x:v>Dried Acanthus — Use
Dried Acanthus — Contingency</x:v>
      </x:c>
      <x:c r="E85" s="12" t="str">
        <x:v>0 / skill
1 / reaction</x:v>
      </x:c>
      <x:c r="F85" s="12" t="str">
        <x:v>4b230116b785</x:v>
      </x:c>
      <x:c r="G85" s="12" t="n">
        <x:v>1</x:v>
      </x:c>
    </x:row>
    <x:row r="86" ht="26.399999618530273" hidden="0" customHeight="1">
      <x:c r="A86" s="12" t="str">
        <x:v>Dusk Hunter Armor Set</x:v>
      </x:c>
      <x:c r="B86" s="12" t="str">
        <x:v>BLACK LION ARMOR SET</x:v>
      </x:c>
      <x:c r="C86" s="12" t="n">
        <x:v>2</x:v>
      </x:c>
      <x:c r="D86" s="12" t="str">
        <x:v>Dusk Hunter Armor Set — Brace
Dusk Hunter Armor Set — Setline</x:v>
      </x:c>
      <x:c r="E86" s="12" t="str">
        <x:v>1 / skill
2 / reaction</x:v>
      </x:c>
      <x:c r="F86" s="12" t="str">
        <x:v>61d1b062cb54</x:v>
      </x:c>
      <x:c r="G86" s="12" t="n">
        <x:v>1</x:v>
      </x:c>
    </x:row>
    <x:row r="87" ht="26.399999618530273" hidden="0" customHeight="1">
      <x:c r="A87" s="12" t="str">
        <x:v>Elder Earrings</x:v>
      </x:c>
      <x:c r="B87" s="12" t="str">
        <x:v>ELDER EARRINGS</x:v>
      </x:c>
      <x:c r="C87" s="12" t="n">
        <x:v>2</x:v>
      </x:c>
      <x:c r="D87" s="12" t="str">
        <x:v>Elder Earrings — Omen
Elder Earrings — Glimmer</x:v>
      </x:c>
      <x:c r="E87" s="12" t="str">
        <x:v>0 / skill
0 / reaction</x:v>
      </x:c>
      <x:c r="F87" s="12" t="str">
        <x:v>6aeab0063bf0</x:v>
      </x:c>
      <x:c r="G87" s="12" t="n">
        <x:v>1</x:v>
      </x:c>
    </x:row>
    <x:row r="88" ht="39.599998474121094" hidden="0" customHeight="1">
      <x:c r="A88" s="12" t="str">
        <x:v>Elder Fang Knife</x:v>
      </x:c>
      <x:c r="B88" s="12" t="str">
        <x:v>ELDER FANG KNIFE</x:v>
      </x:c>
      <x:c r="C88" s="12" t="n">
        <x:v>3</x:v>
      </x:c>
      <x:c r="D88" s="12" t="str">
        <x:v>Elder Fang Knife — Opening Cut
Elder Fang Knife — Technique
Elder Fang Knife — Payoff</x:v>
      </x:c>
      <x:c r="E88" s="12" t="str">
        <x:v>0 / attack
1 / skill
2 / attack</x:v>
      </x:c>
      <x:c r="F88" s="12" t="str">
        <x:v>38ecb1d0411c</x:v>
      </x:c>
      <x:c r="G88" s="12" t="n">
        <x:v>1</x:v>
      </x:c>
    </x:row>
    <x:row r="89" ht="26.399999618530273" hidden="0" customHeight="1">
      <x:c r="A89" s="12" t="str">
        <x:v>Ember Drake Armor Set</x:v>
      </x:c>
      <x:c r="B89" s="12" t="str">
        <x:v>DRAGON ARMOR SET</x:v>
      </x:c>
      <x:c r="C89" s="12" t="n">
        <x:v>2</x:v>
      </x:c>
      <x:c r="D89" s="12" t="str">
        <x:v>Ember Drake Armor Set — Brace
Ember Drake Armor Set — Setline</x:v>
      </x:c>
      <x:c r="E89" s="12" t="str">
        <x:v>1 / skill
1 / reaction</x:v>
      </x:c>
      <x:c r="F89" s="12" t="str">
        <x:v>70770781b9df</x:v>
      </x:c>
      <x:c r="G89" s="12" t="n">
        <x:v>1</x:v>
      </x:c>
    </x:row>
    <x:row r="90" ht="26.399999618530273" hidden="0" customHeight="1">
      <x:c r="A90" s="12" t="str">
        <x:v>Ember Drake Belt</x:v>
      </x:c>
      <x:c r="B90" s="12" t="str">
        <x:v>DRAGON BELT</x:v>
      </x:c>
      <x:c r="C90" s="12" t="n">
        <x:v>2</x:v>
      </x:c>
      <x:c r="D90" s="12" t="str">
        <x:v>Ember Drake Belt — Brace
Ember Drake Belt — Fitted Plate</x:v>
      </x:c>
      <x:c r="E90" s="12" t="str">
        <x:v>1 / skill
2 / reaction</x:v>
      </x:c>
      <x:c r="F90" s="12" t="str">
        <x:v>479bb91d1cfa</x:v>
      </x:c>
      <x:c r="G90" s="12" t="n">
        <x:v>1</x:v>
      </x:c>
    </x:row>
    <x:row r="91" ht="39.599998474121094" hidden="0" customHeight="1">
      <x:c r="A91" s="12" t="str">
        <x:v>Ember Drake Bite Bolt</x:v>
      </x:c>
      <x:c r="B91" s="12" t="str">
        <x:v>DRAGON BITE BOLT</x:v>
      </x:c>
      <x:c r="C91" s="12" t="n">
        <x:v>3</x:v>
      </x:c>
      <x:c r="D91" s="12" t="str">
        <x:v>Ember Drake Bite Bolt — Opening Strike
Ember Drake Bite Bolt — Technique
Ember Drake Bite Bolt — Payoff</x:v>
      </x:c>
      <x:c r="E91" s="12" t="str">
        <x:v>1 / attack
1 / skill
2 / attack</x:v>
      </x:c>
      <x:c r="F91" s="12" t="str">
        <x:v>0086df3e3250</x:v>
      </x:c>
      <x:c r="G91" s="12" t="n">
        <x:v>1</x:v>
      </x:c>
    </x:row>
    <x:row r="92" ht="39.599998474121094" hidden="0" customHeight="1">
      <x:c r="A92" s="12" t="str">
        <x:v>Ember Drake Chakram</x:v>
      </x:c>
      <x:c r="B92" s="12" t="str">
        <x:v>DRAGON CHAKRAM</x:v>
      </x:c>
      <x:c r="C92" s="12" t="n">
        <x:v>3</x:v>
      </x:c>
      <x:c r="D92" s="12" t="str">
        <x:v>Ember Drake Chakram — Opening Strike
Ember Drake Chakram — Technique
Ember Drake Chakram — Payoff</x:v>
      </x:c>
      <x:c r="E92" s="12" t="str">
        <x:v>1 / attack
1 / skill
2 / attack</x:v>
      </x:c>
      <x:c r="F92" s="12" t="str">
        <x:v>d885c3c9d244</x:v>
      </x:c>
      <x:c r="G92" s="12" t="n">
        <x:v>1</x:v>
      </x:c>
    </x:row>
    <x:row r="93" ht="26.399999618530273" hidden="0" customHeight="1">
      <x:c r="A93" s="12" t="str">
        <x:v>Ember Drake Gloves</x:v>
      </x:c>
      <x:c r="B93" s="12" t="str">
        <x:v>DRAGON GLOVES</x:v>
      </x:c>
      <x:c r="C93" s="12" t="n">
        <x:v>2</x:v>
      </x:c>
      <x:c r="D93" s="12" t="str">
        <x:v>Ember Drake Gloves — Brace
Ember Drake Gloves — Fitted Plate</x:v>
      </x:c>
      <x:c r="E93" s="12" t="str">
        <x:v>1 / skill
2 / reaction</x:v>
      </x:c>
      <x:c r="F93" s="12" t="str">
        <x:v>fc8bbab76f59</x:v>
      </x:c>
      <x:c r="G93" s="12" t="n">
        <x:v>1</x:v>
      </x:c>
    </x:row>
    <x:row r="94" ht="26.399999618530273" hidden="0" customHeight="1">
      <x:c r="A94" s="12" t="str">
        <x:v>Ember Drake Mantle</x:v>
      </x:c>
      <x:c r="B94" s="12" t="str">
        <x:v>DRAGON MANTLE</x:v>
      </x:c>
      <x:c r="C94" s="12" t="n">
        <x:v>2</x:v>
      </x:c>
      <x:c r="D94" s="12" t="str">
        <x:v>Ember Drake Mantle — Brace
Ember Drake Mantle — Fitted Plate</x:v>
      </x:c>
      <x:c r="E94" s="12" t="str">
        <x:v>1 / skill
1 / reaction</x:v>
      </x:c>
      <x:c r="F94" s="12" t="str">
        <x:v>8ef2ea800c56</x:v>
      </x:c>
      <x:c r="G94" s="12" t="n">
        <x:v>1</x:v>
      </x:c>
    </x:row>
    <x:row r="95" ht="26.399999618530273" hidden="0" customHeight="1">
      <x:c r="A95" s="12" t="str">
        <x:v>Ember Drake Skull Crown</x:v>
      </x:c>
      <x:c r="B95" s="12" t="str">
        <x:v>DRAGONSKULL HELM</x:v>
      </x:c>
      <x:c r="C95" s="12" t="n">
        <x:v>2</x:v>
      </x:c>
      <x:c r="D95" s="12" t="str">
        <x:v>Ember Drake Skull Crown — Brace
Ember Drake Skull Crown — Fitted Plate</x:v>
      </x:c>
      <x:c r="E95" s="12" t="str">
        <x:v>1 / skill
2 / reaction</x:v>
      </x:c>
      <x:c r="F95" s="12" t="str">
        <x:v>0978223b0753</x:v>
      </x:c>
      <x:c r="G95" s="12" t="n">
        <x:v>1</x:v>
      </x:c>
    </x:row>
    <x:row r="96" ht="39.599998474121094" hidden="0" customHeight="1">
      <x:c r="A96" s="12" t="str">
        <x:v>Ember Drake Slayer</x:v>
      </x:c>
      <x:c r="B96" s="12" t="str">
        <x:v>DRAGON SLAYER</x:v>
      </x:c>
      <x:c r="C96" s="12" t="n">
        <x:v>3</x:v>
      </x:c>
      <x:c r="D96" s="12" t="str">
        <x:v>Ember Drake Slayer — Opening Strike
Ember Drake Slayer — Technique
Ember Drake Slayer — Payoff</x:v>
      </x:c>
      <x:c r="E96" s="12" t="str">
        <x:v>2 / attack
3 / skill
3 / attack</x:v>
      </x:c>
      <x:c r="F96" s="12" t="str">
        <x:v>d63181b23253</x:v>
      </x:c>
      <x:c r="G96" s="12" t="n">
        <x:v>1</x:v>
      </x:c>
    </x:row>
    <x:row r="97" ht="39.599998474121094" hidden="0" customHeight="1">
      <x:c r="A97" s="12" t="str">
        <x:v>Ember Drake Slayer (Broken)</x:v>
      </x:c>
      <x:c r="B97" s="12" t="str">
        <x:v>DRAGON SLAYER (BROKEN)</x:v>
      </x:c>
      <x:c r="C97" s="12" t="n">
        <x:v>3</x:v>
      </x:c>
      <x:c r="D97" s="12" t="str">
        <x:v>Ember Drake Slayer (Broken) — Opening Strike
Ember Drake Slayer (Broken) — Technique
Ember Drake Slayer (Broken) — Payoff</x:v>
      </x:c>
      <x:c r="E97" s="12" t="str">
        <x:v>3 / attack
2 / skill
4 / attack</x:v>
      </x:c>
      <x:c r="F97" s="12" t="str">
        <x:v>0f4f5951c52b</x:v>
      </x:c>
      <x:c r="G97" s="12" t="n">
        <x:v>1</x:v>
      </x:c>
    </x:row>
    <x:row r="98" ht="26.399999618530273" hidden="0" customHeight="1">
      <x:c r="A98" s="12" t="str">
        <x:v>Ember Drake Treads</x:v>
      </x:c>
      <x:c r="B98" s="12" t="str">
        <x:v>DRAGON BOOTS</x:v>
      </x:c>
      <x:c r="C98" s="12" t="n">
        <x:v>2</x:v>
      </x:c>
      <x:c r="D98" s="12" t="str">
        <x:v>Ember Drake Treads — Brace
Ember Drake Treads — Fitted Plate</x:v>
      </x:c>
      <x:c r="E98" s="12" t="str">
        <x:v>1 / skill
2 / reaction</x:v>
      </x:c>
      <x:c r="F98" s="12" t="str">
        <x:v>84a3d0025c9c</x:v>
      </x:c>
      <x:c r="G98" s="12" t="n">
        <x:v>1</x:v>
      </x:c>
    </x:row>
    <x:row r="99" ht="26.399999618530273" hidden="0" customHeight="1">
      <x:c r="A99" s="12" t="str">
        <x:v>Eventide (Hunt Phase)</x:v>
      </x:c>
      <x:c r="B99" s="12" t="str">
        <x:v>EVENTIDE (HUNT PHASE)</x:v>
      </x:c>
      <x:c r="C99" s="12" t="n">
        <x:v>2</x:v>
      </x:c>
      <x:c r="D99" s="12" t="str">
        <x:v>Eventide (Hunt Phase) — Use
Eventide (Hunt Phase) — Contingency</x:v>
      </x:c>
      <x:c r="E99" s="12" t="str">
        <x:v>0 / skill
0 / reaction</x:v>
      </x:c>
      <x:c r="F99" s="12" t="str">
        <x:v>aa5402219d34</x:v>
      </x:c>
      <x:c r="G99" s="12" t="n">
        <x:v>1</x:v>
      </x:c>
    </x:row>
    <x:row r="100" ht="26.399999618530273" hidden="0" customHeight="1">
      <x:c r="A100" s="12" t="str">
        <x:v>Eventide (Showdown Phase)</x:v>
      </x:c>
      <x:c r="B100" s="12" t="str">
        <x:v>EVENTIDE (SHOWDOWN PHASE)</x:v>
      </x:c>
      <x:c r="C100" s="12" t="n">
        <x:v>2</x:v>
      </x:c>
      <x:c r="D100" s="12" t="str">
        <x:v>Eventide (Showdown Phase) — Use
Eventide (Showdown Phase) — Contingency</x:v>
      </x:c>
      <x:c r="E100" s="12" t="str">
        <x:v>1 / skill
1 / reaction</x:v>
      </x:c>
      <x:c r="F100" s="12" t="str">
        <x:v>87750863d69f</x:v>
      </x:c>
      <x:c r="G100" s="12" t="n">
        <x:v>1</x:v>
      </x:c>
    </x:row>
    <x:row r="101" ht="39.599998474121094" hidden="0" customHeight="1">
      <x:c r="A101" s="12" t="str">
        <x:v>Fang Knife</x:v>
      </x:c>
      <x:c r="B101" s="12" t="str">
        <x:v>CAT FANG KNIFE</x:v>
      </x:c>
      <x:c r="C101" s="12" t="n">
        <x:v>3</x:v>
      </x:c>
      <x:c r="D101" s="12" t="str">
        <x:v>Fang Knife — Opening Cut
Fang Knife — Technique
Fang Knife — Payoff</x:v>
      </x:c>
      <x:c r="E101" s="12" t="str">
        <x:v>0 / attack
2 / skill
2 / attack</x:v>
      </x:c>
      <x:c r="F101" s="12" t="str">
        <x:v>c679ba9f1e70</x:v>
      </x:c>
      <x:c r="G101" s="12" t="n">
        <x:v>1</x:v>
      </x:c>
    </x:row>
    <x:row r="102" ht="26.399999618530273" hidden="0" customHeight="1">
      <x:c r="A102" s="12" t="str">
        <x:v>Fanged Dusters</x:v>
      </x:c>
      <x:c r="B102" s="12" t="str">
        <x:v>FANGED DUSTERS</x:v>
      </x:c>
      <x:c r="C102" s="12" t="n">
        <x:v>2</x:v>
      </x:c>
      <x:c r="D102" s="12" t="str">
        <x:v>Fanged Dusters — Use
Fanged Dusters — Contingency</x:v>
      </x:c>
      <x:c r="E102" s="12" t="str">
        <x:v>1 / skill
1 / reaction</x:v>
      </x:c>
      <x:c r="F102" s="12" t="str">
        <x:v>09f689bcf790</x:v>
      </x:c>
      <x:c r="G102" s="12" t="n">
        <x:v>1</x:v>
      </x:c>
    </x:row>
    <x:row r="103" ht="26.399999618530273" hidden="0" customHeight="1">
      <x:c r="A103" s="12" t="str">
        <x:v>Feather Guard</x:v>
      </x:c>
      <x:c r="B103" s="12" t="str">
        <x:v>FEATHER SHIELD</x:v>
      </x:c>
      <x:c r="C103" s="12" t="n">
        <x:v>2</x:v>
      </x:c>
      <x:c r="D103" s="12" t="str">
        <x:v>Feather Guard — Shield Wall
Feather Guard — Answering Bash</x:v>
      </x:c>
      <x:c r="E103" s="12" t="str">
        <x:v>1 / skill
1 / reaction</x:v>
      </x:c>
      <x:c r="F103" s="12" t="str">
        <x:v>7bc157fb3a5a</x:v>
      </x:c>
      <x:c r="G103" s="12" t="n">
        <x:v>1</x:v>
      </x:c>
    </x:row>
    <x:row r="104" ht="26.399999618530273" hidden="0" customHeight="1">
      <x:c r="A104" s="12" t="str">
        <x:v>Feather Mantle</x:v>
      </x:c>
      <x:c r="B104" s="12" t="str">
        <x:v>FEATHER MANTLE</x:v>
      </x:c>
      <x:c r="C104" s="12" t="n">
        <x:v>2</x:v>
      </x:c>
      <x:c r="D104" s="12" t="str">
        <x:v>Feather Mantle — Use
Feather Mantle — Contingency</x:v>
      </x:c>
      <x:c r="E104" s="12" t="str">
        <x:v>1 / skill
1 / reaction</x:v>
      </x:c>
      <x:c r="F104" s="12" t="str">
        <x:v>bdc4a4b264a6</x:v>
      </x:c>
      <x:c r="G104" s="12" t="n">
        <x:v>1</x:v>
      </x:c>
    </x:row>
    <x:row r="105" ht="26.399999618530273" hidden="0" customHeight="1">
      <x:c r="A105" s="12" t="str">
        <x:v>Fecal Salve</x:v>
      </x:c>
      <x:c r="B105" s="12" t="str">
        <x:v>FECAL SALVE</x:v>
      </x:c>
      <x:c r="C105" s="12" t="n">
        <x:v>2</x:v>
      </x:c>
      <x:c r="D105" s="12" t="str">
        <x:v>Fecal Salve — Resonance
Fecal Salve — Echo</x:v>
      </x:c>
      <x:c r="E105" s="12" t="str">
        <x:v>1 / support
1 / reaction</x:v>
      </x:c>
      <x:c r="F105" s="12" t="str">
        <x:v>29c0fa653c97</x:v>
      </x:c>
      <x:c r="G105" s="12" t="n">
        <x:v>1</x:v>
      </x:c>
    </x:row>
    <x:row r="106" ht="26.399999618530273" hidden="0" customHeight="1">
      <x:c r="A106" s="12" t="str">
        <x:v>Fetosaurus</x:v>
      </x:c>
      <x:c r="B106" s="12" t="str">
        <x:v>FETOSAURUS</x:v>
      </x:c>
      <x:c r="C106" s="12" t="n">
        <x:v>2</x:v>
      </x:c>
      <x:c r="D106" s="12" t="str">
        <x:v>Fetosaurus — Brace
Fetosaurus — Fitted Plate</x:v>
      </x:c>
      <x:c r="E106" s="12" t="str">
        <x:v>1 / skill
2 / reaction</x:v>
      </x:c>
      <x:c r="F106" s="12" t="str">
        <x:v>16919cdf3846</x:v>
      </x:c>
      <x:c r="G106" s="12" t="n">
        <x:v>1</x:v>
      </x:c>
    </x:row>
    <x:row r="107" ht="26.399999618530273" hidden="0" customHeight="1">
      <x:c r="A107" s="12" t="str">
        <x:v>Finger of God</x:v>
      </x:c>
      <x:c r="B107" s="12" t="str">
        <x:v>FINGER OF GOD</x:v>
      </x:c>
      <x:c r="C107" s="12" t="n">
        <x:v>2</x:v>
      </x:c>
      <x:c r="D107" s="12" t="str">
        <x:v>Finger of God — Use
Finger of God — Contingency</x:v>
      </x:c>
      <x:c r="E107" s="12" t="str">
        <x:v>1 / skill
1 / reaction</x:v>
      </x:c>
      <x:c r="F107" s="12" t="str">
        <x:v>7dc21566898e</x:v>
      </x:c>
      <x:c r="G107" s="12" t="n">
        <x:v>1</x:v>
      </x:c>
    </x:row>
    <x:row r="108" ht="26.399999618530273" hidden="0" customHeight="1">
      <x:c r="A108" s="12" t="str">
        <x:v>First Aid Kit</x:v>
      </x:c>
      <x:c r="B108" s="12" t="str">
        <x:v>FIRST AID KIT</x:v>
      </x:c>
      <x:c r="C108" s="12" t="n">
        <x:v>2</x:v>
      </x:c>
      <x:c r="D108" s="12" t="str">
        <x:v>First Aid Kit — Resonance
First Aid Kit — Echo</x:v>
      </x:c>
      <x:c r="E108" s="12" t="str">
        <x:v>1 / support
1 / reaction</x:v>
      </x:c>
      <x:c r="F108" s="12" t="str">
        <x:v>8e8d9e63cb11</x:v>
      </x:c>
      <x:c r="G108" s="12" t="n">
        <x:v>1</x:v>
      </x:c>
    </x:row>
    <x:row r="109" ht="26.399999618530273" hidden="0" customHeight="1">
      <x:c r="A109" s="12" t="str">
        <x:v>Frenzy Drink</x:v>
      </x:c>
      <x:c r="B109" s="12" t="str">
        <x:v>FRENZY DRINK</x:v>
      </x:c>
      <x:c r="C109" s="12" t="n">
        <x:v>2</x:v>
      </x:c>
      <x:c r="D109" s="12" t="str">
        <x:v>Frenzy Drink — Use
Frenzy Drink — Contingency</x:v>
      </x:c>
      <x:c r="E109" s="12" t="str">
        <x:v>0 / skill
1 / reaction</x:v>
      </x:c>
      <x:c r="F109" s="12" t="str">
        <x:v>832b1edd878a</x:v>
      </x:c>
      <x:c r="G109" s="12" t="n">
        <x:v>1</x:v>
      </x:c>
    </x:row>
    <x:row r="110" ht="26.399999618530273" hidden="0" customHeight="1">
      <x:c r="A110" s="12" t="str">
        <x:v>Fur Armor Set</x:v>
      </x:c>
      <x:c r="B110" s="12" t="str">
        <x:v>FUR ARMOR SET</x:v>
      </x:c>
      <x:c r="C110" s="12" t="n">
        <x:v>2</x:v>
      </x:c>
      <x:c r="D110" s="12" t="str">
        <x:v>Fur Armor Set — Brace
Fur Armor Set — Setline</x:v>
      </x:c>
      <x:c r="E110" s="12" t="str">
        <x:v>1 / skill
2 / reaction</x:v>
      </x:c>
      <x:c r="F110" s="12" t="str">
        <x:v>b1568829d263</x:v>
      </x:c>
      <x:c r="G110" s="12" t="n">
        <x:v>1</x:v>
      </x:c>
    </x:row>
    <x:row r="111" ht="26.399999618530273" hidden="0" customHeight="1">
      <x:c r="A111" s="12" t="str">
        <x:v>Fur Kilt</x:v>
      </x:c>
      <x:c r="B111" s="12" t="str">
        <x:v>FUR KILT</x:v>
      </x:c>
      <x:c r="C111" s="12" t="n">
        <x:v>2</x:v>
      </x:c>
      <x:c r="D111" s="12" t="str">
        <x:v>Fur Kilt — Brace
Fur Kilt — Fitted Plate</x:v>
      </x:c>
      <x:c r="E111" s="12" t="str">
        <x:v>1 / skill
1 / reaction</x:v>
      </x:c>
      <x:c r="F111" s="12" t="str">
        <x:v>9e30c1c4be5f</x:v>
      </x:c>
      <x:c r="G111" s="12" t="n">
        <x:v>1</x:v>
      </x:c>
    </x:row>
    <x:row r="112" ht="26.399999618530273" hidden="0" customHeight="1">
      <x:c r="A112" s="12" t="str">
        <x:v>Fur Leg Warmers</x:v>
      </x:c>
      <x:c r="B112" s="12" t="str">
        <x:v>FUR LEG WARMERS</x:v>
      </x:c>
      <x:c r="C112" s="12" t="n">
        <x:v>2</x:v>
      </x:c>
      <x:c r="D112" s="12" t="str">
        <x:v>Fur Leg Warmers — Brace
Fur Leg Warmers — Fitted Plate</x:v>
      </x:c>
      <x:c r="E112" s="12" t="str">
        <x:v>1 / skill
2 / reaction</x:v>
      </x:c>
      <x:c r="F112" s="12" t="str">
        <x:v>96f701ea95ee</x:v>
      </x:c>
      <x:c r="G112" s="12" t="n">
        <x:v>1</x:v>
      </x:c>
    </x:row>
    <x:row r="113" ht="26.399999618530273" hidden="0" customHeight="1">
      <x:c r="A113" s="12" t="str">
        <x:v>Fur Mantle</x:v>
      </x:c>
      <x:c r="B113" s="12" t="str">
        <x:v>FUR MANTLE</x:v>
      </x:c>
      <x:c r="C113" s="12" t="n">
        <x:v>2</x:v>
      </x:c>
      <x:c r="D113" s="12" t="str">
        <x:v>Fur Mantle — Brace
Fur Mantle — Fitted Plate</x:v>
      </x:c>
      <x:c r="E113" s="12" t="str">
        <x:v>1 / skill
1 / reaction</x:v>
      </x:c>
      <x:c r="F113" s="12" t="str">
        <x:v>2a5a75995d19</x:v>
      </x:c>
      <x:c r="G113" s="12" t="n">
        <x:v>1</x:v>
      </x:c>
    </x:row>
    <x:row r="114" ht="26.399999618530273" hidden="0" customHeight="1">
      <x:c r="A114" s="12" t="str">
        <x:v>Fur Websilk Cuffs</x:v>
      </x:c>
      <x:c r="B114" s="12" t="str">
        <x:v>FUR SILK CUFFS</x:v>
      </x:c>
      <x:c r="C114" s="12" t="n">
        <x:v>2</x:v>
      </x:c>
      <x:c r="D114" s="12" t="str">
        <x:v>Fur Websilk Cuffs — Brace
Fur Websilk Cuffs — Fitted Plate</x:v>
      </x:c>
      <x:c r="E114" s="12" t="str">
        <x:v>1 / skill
2 / reaction</x:v>
      </x:c>
      <x:c r="F114" s="12" t="str">
        <x:v>26600cfc6fa1</x:v>
      </x:c>
      <x:c r="G114" s="12" t="n">
        <x:v>1</x:v>
      </x:c>
    </x:row>
    <x:row r="115" ht="39.599998474121094" hidden="0" customHeight="1">
      <x:c r="A115" s="12" t="str">
        <x:v>Gaxe</x:v>
      </x:c>
      <x:c r="B115" s="12" t="str">
        <x:v>GAXE</x:v>
      </x:c>
      <x:c r="C115" s="12" t="n">
        <x:v>3</x:v>
      </x:c>
      <x:c r="D115" s="12" t="str">
        <x:v>Gaxe — Opening Strike
Gaxe — Technique
Gaxe — Payoff</x:v>
      </x:c>
      <x:c r="E115" s="12" t="str">
        <x:v>1 / attack
2 / skill
3 / attack</x:v>
      </x:c>
      <x:c r="F115" s="12" t="str">
        <x:v>1de7d5beec3c</x:v>
      </x:c>
      <x:c r="G115" s="12" t="n">
        <x:v>1</x:v>
      </x:c>
    </x:row>
    <x:row r="116" ht="26.399999618530273" hidden="0" customHeight="1">
      <x:c r="A116" s="12" t="str">
        <x:v>Gloom Bracelets</x:v>
      </x:c>
      <x:c r="B116" s="12" t="str">
        <x:v>GLOOM BRACELETS</x:v>
      </x:c>
      <x:c r="C116" s="12" t="n">
        <x:v>2</x:v>
      </x:c>
      <x:c r="D116" s="12" t="str">
        <x:v>Gloom Bracelets — Use
Gloom Bracelets — Contingency</x:v>
      </x:c>
      <x:c r="E116" s="12" t="str">
        <x:v>1 / skill
1 / reaction</x:v>
      </x:c>
      <x:c r="F116" s="12" t="str">
        <x:v>18214aa0fafb</x:v>
      </x:c>
      <x:c r="G116" s="12" t="n">
        <x:v>1</x:v>
      </x:c>
    </x:row>
    <x:row r="117" ht="26.399999618530273" hidden="0" customHeight="1">
      <x:c r="A117" s="12" t="str">
        <x:v>Gloom Cream</x:v>
      </x:c>
      <x:c r="B117" s="12" t="str">
        <x:v>GLOOM CREAM</x:v>
      </x:c>
      <x:c r="C117" s="12" t="n">
        <x:v>2</x:v>
      </x:c>
      <x:c r="D117" s="12" t="str">
        <x:v>Gloom Cream — Use
Gloom Cream — Contingency</x:v>
      </x:c>
      <x:c r="E117" s="12" t="str">
        <x:v>0 / skill
1 / reaction</x:v>
      </x:c>
      <x:c r="F117" s="12" t="str">
        <x:v>1379e7c68c97</x:v>
      </x:c>
      <x:c r="G117" s="12" t="n">
        <x:v>1</x:v>
      </x:c>
    </x:row>
    <x:row r="118" ht="26.399999618530273" hidden="0" customHeight="1">
      <x:c r="A118" s="12" t="str">
        <x:v>Gloom Drum (Hunt Phase)</x:v>
      </x:c>
      <x:c r="B118" s="12" t="str">
        <x:v>GLOOM DRUM (HUNT PHASE)</x:v>
      </x:c>
      <x:c r="C118" s="12" t="n">
        <x:v>2</x:v>
      </x:c>
      <x:c r="D118" s="12" t="str">
        <x:v>Gloom Drum (Hunt Phase) — Hunt Call
Gloom Drum (Hunt Phase) — Echo</x:v>
      </x:c>
      <x:c r="E118" s="12" t="str">
        <x:v>1 / support
0 / reaction</x:v>
      </x:c>
      <x:c r="F118" s="12" t="str">
        <x:v>58c23927d18a</x:v>
      </x:c>
      <x:c r="G118" s="12" t="n">
        <x:v>1</x:v>
      </x:c>
    </x:row>
    <x:row r="119" ht="26.399999618530273" hidden="0" customHeight="1">
      <x:c r="A119" s="12" t="str">
        <x:v>Gloom Drum (Showdown Phase)</x:v>
      </x:c>
      <x:c r="B119" s="12" t="str">
        <x:v>GLOOM DRUM (SHOWDOWN PHASE)</x:v>
      </x:c>
      <x:c r="C119" s="12" t="n">
        <x:v>2</x:v>
      </x:c>
      <x:c r="D119" s="12" t="str">
        <x:v>Gloom Drum (Showdown Phase) — War Call
Gloom Drum (Showdown Phase) — Echo</x:v>
      </x:c>
      <x:c r="E119" s="12" t="str">
        <x:v>1 / support
1 / reaction</x:v>
      </x:c>
      <x:c r="F119" s="12" t="str">
        <x:v>ab36afb4fcb6</x:v>
      </x:c>
      <x:c r="G119" s="12" t="n">
        <x:v>1</x:v>
      </x:c>
    </x:row>
    <x:row r="120" ht="39.599998474121094" hidden="0" customHeight="1">
      <x:c r="A120" s="12" t="str">
        <x:v>Gloom Hammer</x:v>
      </x:c>
      <x:c r="B120" s="12" t="str">
        <x:v>GLOOM HAMMER</x:v>
      </x:c>
      <x:c r="C120" s="12" t="n">
        <x:v>3</x:v>
      </x:c>
      <x:c r="D120" s="12" t="str">
        <x:v>Gloom Hammer — Opening Strike
Gloom Hammer — Technique
Gloom Hammer — Payoff</x:v>
      </x:c>
      <x:c r="E120" s="12" t="str">
        <x:v>1 / attack
2 / skill
2 / attack</x:v>
      </x:c>
      <x:c r="F120" s="12" t="str">
        <x:v>e56b73c95387</x:v>
      </x:c>
      <x:c r="G120" s="12" t="n">
        <x:v>1</x:v>
      </x:c>
    </x:row>
    <x:row r="121" ht="39.599998474121094" hidden="0" customHeight="1">
      <x:c r="A121" s="12" t="str">
        <x:v>Gloom Katana</x:v>
      </x:c>
      <x:c r="B121" s="12" t="str">
        <x:v>GLOOM KATANA</x:v>
      </x:c>
      <x:c r="C121" s="12" t="n">
        <x:v>3</x:v>
      </x:c>
      <x:c r="D121" s="12" t="str">
        <x:v>Gloom Katana — Opening Strike
Gloom Katana — Technique
Gloom Katana — Payoff</x:v>
      </x:c>
      <x:c r="E121" s="12" t="str">
        <x:v>1 / attack
1 / skill
2 / reaction</x:v>
      </x:c>
      <x:c r="F121" s="12" t="str">
        <x:v>e762015eb8c8</x:v>
      </x:c>
      <x:c r="G121" s="12" t="n">
        <x:v>1</x:v>
      </x:c>
    </x:row>
    <x:row r="122" ht="26.399999618530273" hidden="0" customHeight="1">
      <x:c r="A122" s="12" t="str">
        <x:v>Gloom Mehndi</x:v>
      </x:c>
      <x:c r="B122" s="12" t="str">
        <x:v>GLOOM MEHNDI</x:v>
      </x:c>
      <x:c r="C122" s="12" t="n">
        <x:v>2</x:v>
      </x:c>
      <x:c r="D122" s="12" t="str">
        <x:v>Gloom Mehndi — Use
Gloom Mehndi — Contingency</x:v>
      </x:c>
      <x:c r="E122" s="12" t="str">
        <x:v>1 / skill
1 / reaction</x:v>
      </x:c>
      <x:c r="F122" s="12" t="str">
        <x:v>50971c0119a5</x:v>
      </x:c>
      <x:c r="G122" s="12" t="n">
        <x:v>1</x:v>
      </x:c>
    </x:row>
    <x:row r="123" ht="26.399999618530273" hidden="0" customHeight="1">
      <x:c r="A123" s="12" t="str">
        <x:v>Gloom Sheath</x:v>
      </x:c>
      <x:c r="B123" s="12" t="str">
        <x:v>GLOOM SHEATH</x:v>
      </x:c>
      <x:c r="C123" s="12" t="n">
        <x:v>2</x:v>
      </x:c>
      <x:c r="D123" s="12" t="str">
        <x:v>Gloom Sheath — Use
Gloom Sheath — Contingency</x:v>
      </x:c>
      <x:c r="E123" s="12" t="str">
        <x:v>1 / skill
1 / reaction</x:v>
      </x:c>
      <x:c r="F123" s="12" t="str">
        <x:v>cc343605c3d7</x:v>
      </x:c>
      <x:c r="G123" s="12" t="n">
        <x:v>1</x:v>
      </x:c>
    </x:row>
    <x:row r="124" ht="39.599998474121094" hidden="0" customHeight="1">
      <x:c r="A124" s="12" t="str">
        <x:v>Gloom-Coated Arrow</x:v>
      </x:c>
      <x:c r="B124" s="12" t="str">
        <x:v>GLOOM-COATED ARROW</x:v>
      </x:c>
      <x:c r="C124" s="12" t="n">
        <x:v>3</x:v>
      </x:c>
      <x:c r="D124" s="12" t="str">
        <x:v>Gloom-Coated Arrow — Opening Strike
Gloom-Coated Arrow — Technique
Gloom-Coated Arrow — Payoff</x:v>
      </x:c>
      <x:c r="E124" s="12" t="str">
        <x:v>1 / attack
2 / skill
2 / attack</x:v>
      </x:c>
      <x:c r="F124" s="12" t="str">
        <x:v>596128e81744</x:v>
      </x:c>
      <x:c r="G124" s="12" t="n">
        <x:v>1</x:v>
      </x:c>
    </x:row>
    <x:row r="125" ht="26.399999618530273" hidden="0" customHeight="1">
      <x:c r="A125" s="12" t="str">
        <x:v>Glute (Hunt Phase)</x:v>
      </x:c>
      <x:c r="B125" s="12" t="str">
        <x:v>GLUTE (HUNT PHASE)</x:v>
      </x:c>
      <x:c r="C125" s="12" t="n">
        <x:v>2</x:v>
      </x:c>
      <x:c r="D125" s="12" t="str">
        <x:v>Glute (Hunt Phase) — Hunt Call
Glute (Hunt Phase) — Echo</x:v>
      </x:c>
      <x:c r="E125" s="12" t="str">
        <x:v>1 / support
0 / reaction</x:v>
      </x:c>
      <x:c r="F125" s="12" t="str">
        <x:v>b1a02c3dbaa5</x:v>
      </x:c>
      <x:c r="G125" s="12" t="n">
        <x:v>1</x:v>
      </x:c>
    </x:row>
    <x:row r="126" ht="26.399999618530273" hidden="0" customHeight="1">
      <x:c r="A126" s="12" t="str">
        <x:v>Glute (Showdown Phase)</x:v>
      </x:c>
      <x:c r="B126" s="12" t="str">
        <x:v>GLUTE (SHOWDOWN PHASE)</x:v>
      </x:c>
      <x:c r="C126" s="12" t="n">
        <x:v>2</x:v>
      </x:c>
      <x:c r="D126" s="12" t="str">
        <x:v>Glute (Showdown Phase) — War Call
Glute (Showdown Phase) — Echo</x:v>
      </x:c>
      <x:c r="E126" s="12" t="str">
        <x:v>1 / support
1 / reaction</x:v>
      </x:c>
      <x:c r="F126" s="12" t="str">
        <x:v>d999d5765c25</x:v>
      </x:c>
      <x:c r="G126" s="12" t="n">
        <x:v>1</x:v>
      </x:c>
    </x:row>
    <x:row r="127" ht="26.399999618530273" hidden="0" customHeight="1">
      <x:c r="A127" s="12" t="str">
        <x:v>God Visage</x:v>
      </x:c>
      <x:c r="B127" s="12" t="str">
        <x:v>GOD MASK</x:v>
      </x:c>
      <x:c r="C127" s="12" t="n">
        <x:v>2</x:v>
      </x:c>
      <x:c r="D127" s="12" t="str">
        <x:v>God Visage — Omen
God Visage — Glimmer</x:v>
      </x:c>
      <x:c r="E127" s="12" t="str">
        <x:v>0 / skill
0 / reaction</x:v>
      </x:c>
      <x:c r="F127" s="12" t="str">
        <x:v>e56558e59f7c</x:v>
      </x:c>
      <x:c r="G127" s="12" t="n">
        <x:v>1</x:v>
      </x:c>
    </x:row>
    <x:row r="128" ht="26.399999618530273" hidden="0" customHeight="1">
      <x:c r="A128" s="12" t="str">
        <x:v>Gorment Armor Set</x:v>
      </x:c>
      <x:c r="B128" s="12" t="str">
        <x:v>GORMENT ARMOR SET</x:v>
      </x:c>
      <x:c r="C128" s="12" t="n">
        <x:v>2</x:v>
      </x:c>
      <x:c r="D128" s="12" t="str">
        <x:v>Gorment Armor Set — Brace
Gorment Armor Set — Setline</x:v>
      </x:c>
      <x:c r="E128" s="12" t="str">
        <x:v>1 / skill
2 / reaction</x:v>
      </x:c>
      <x:c r="F128" s="12" t="str">
        <x:v>a7005022ce1f</x:v>
      </x:c>
      <x:c r="G128" s="12" t="n">
        <x:v>1</x:v>
      </x:c>
    </x:row>
    <x:row r="129" ht="26.399999618530273" hidden="0" customHeight="1">
      <x:c r="A129" s="12" t="str">
        <x:v>Gorment Sleeves</x:v>
      </x:c>
      <x:c r="B129" s="12" t="str">
        <x:v>GORMENT SLEEVES</x:v>
      </x:c>
      <x:c r="C129" s="12" t="n">
        <x:v>2</x:v>
      </x:c>
      <x:c r="D129" s="12" t="str">
        <x:v>Gorment Sleeves — Brace
Gorment Sleeves — Fitted Plate</x:v>
      </x:c>
      <x:c r="E129" s="12" t="str">
        <x:v>1 / skill
1 / reaction</x:v>
      </x:c>
      <x:c r="F129" s="12" t="str">
        <x:v>68fc78f15cee</x:v>
      </x:c>
      <x:c r="G129" s="12" t="n">
        <x:v>1</x:v>
      </x:c>
    </x:row>
    <x:row r="130" ht="26.399999618530273" hidden="0" customHeight="1">
      <x:c r="A130" s="12" t="str">
        <x:v>Gorment Suit</x:v>
      </x:c>
      <x:c r="B130" s="12" t="str">
        <x:v>GORMENT SUIT</x:v>
      </x:c>
      <x:c r="C130" s="12" t="n">
        <x:v>2</x:v>
      </x:c>
      <x:c r="D130" s="12" t="str">
        <x:v>Gorment Suit — Brace
Gorment Suit — Fitted Plate</x:v>
      </x:c>
      <x:c r="E130" s="12" t="str">
        <x:v>1 / skill
2 / reaction</x:v>
      </x:c>
      <x:c r="F130" s="12" t="str">
        <x:v>f753599267b9</x:v>
      </x:c>
      <x:c r="G130" s="12" t="n">
        <x:v>1</x:v>
      </x:c>
    </x:row>
    <x:row r="131" ht="26.399999618530273" hidden="0" customHeight="1">
      <x:c r="A131" s="12" t="str">
        <x:v>Gorment Treads</x:v>
      </x:c>
      <x:c r="B131" s="12" t="str">
        <x:v>GORMENT BOOTS</x:v>
      </x:c>
      <x:c r="C131" s="12" t="n">
        <x:v>2</x:v>
      </x:c>
      <x:c r="D131" s="12" t="str">
        <x:v>Gorment Treads — Brace
Gorment Treads — Fitted Plate</x:v>
      </x:c>
      <x:c r="E131" s="12" t="str">
        <x:v>1 / skill
1 / reaction</x:v>
      </x:c>
      <x:c r="F131" s="12" t="str">
        <x:v>50905f334012</x:v>
      </x:c>
      <x:c r="G131" s="12" t="n">
        <x:v>1</x:v>
      </x:c>
    </x:row>
    <x:row r="132" ht="26.399999618530273" hidden="0" customHeight="1">
      <x:c r="A132" s="12" t="str">
        <x:v>Gorment Visage</x:v>
      </x:c>
      <x:c r="B132" s="12" t="str">
        <x:v>GORMENT MASK</x:v>
      </x:c>
      <x:c r="C132" s="12" t="n">
        <x:v>2</x:v>
      </x:c>
      <x:c r="D132" s="12" t="str">
        <x:v>Gorment Visage — Omen
Gorment Visage — Glimmer</x:v>
      </x:c>
      <x:c r="E132" s="12" t="str">
        <x:v>0 / skill
0 / reaction</x:v>
      </x:c>
      <x:c r="F132" s="12" t="str">
        <x:v>80e766307a7a</x:v>
      </x:c>
      <x:c r="G132" s="12" t="n">
        <x:v>1</x:v>
      </x:c>
    </x:row>
    <x:row r="133" ht="26.399999618530273" hidden="0" customHeight="1">
      <x:c r="A133" s="12" t="str">
        <x:v>Gorn</x:v>
      </x:c>
      <x:c r="B133" s="12" t="str">
        <x:v>GORN</x:v>
      </x:c>
      <x:c r="C133" s="12" t="n">
        <x:v>2</x:v>
      </x:c>
      <x:c r="D133" s="12" t="str">
        <x:v>Gorn — Use
Gorn — Contingency</x:v>
      </x:c>
      <x:c r="E133" s="12" t="str">
        <x:v>1 / skill
1 / reaction</x:v>
      </x:c>
      <x:c r="F133" s="12" t="str">
        <x:v>1b464271f177</x:v>
      </x:c>
      <x:c r="G133" s="12" t="n">
        <x:v>1</x:v>
      </x:c>
    </x:row>
    <x:row r="134" ht="39.599998474121094" hidden="0" customHeight="1">
      <x:c r="A134" s="12" t="str">
        <x:v>Gramber Blade</x:v>
      </x:c>
      <x:c r="B134" s="12" t="str">
        <x:v>GRAMBER BLADE</x:v>
      </x:c>
      <x:c r="C134" s="12" t="n">
        <x:v>3</x:v>
      </x:c>
      <x:c r="D134" s="12" t="str">
        <x:v>Gramber Blade — Opening Cut
Gramber Blade — Technique
Gramber Blade — Payoff</x:v>
      </x:c>
      <x:c r="E134" s="12" t="str">
        <x:v>1 / attack
2 / skill
2 / reaction</x:v>
      </x:c>
      <x:c r="F134" s="12" t="str">
        <x:v>cd675931c119</x:v>
      </x:c>
      <x:c r="G134" s="12" t="n">
        <x:v>1</x:v>
      </x:c>
    </x:row>
    <x:row r="135" ht="39.599998474121094" hidden="0" customHeight="1">
      <x:c r="A135" s="12" t="str">
        <x:v>Greater Gaxe</x:v>
      </x:c>
      <x:c r="B135" s="12" t="str">
        <x:v>GREATER GAXE</x:v>
      </x:c>
      <x:c r="C135" s="12" t="n">
        <x:v>3</x:v>
      </x:c>
      <x:c r="D135" s="12" t="str">
        <x:v>Greater Gaxe — Opening Strike
Greater Gaxe — Technique
Greater Gaxe — Payoff</x:v>
      </x:c>
      <x:c r="E135" s="12" t="str">
        <x:v>1 / attack
2 / skill
3 / attack</x:v>
      </x:c>
      <x:c r="F135" s="12" t="str">
        <x:v>50d4688c6f7f</x:v>
      </x:c>
      <x:c r="G135" s="12" t="n">
        <x:v>1</x:v>
      </x:c>
    </x:row>
    <x:row r="136" ht="26.399999618530273" hidden="0" customHeight="1">
      <x:c r="A136" s="12" t="str">
        <x:v>Green Charm</x:v>
      </x:c>
      <x:c r="B136" s="12" t="str">
        <x:v>GREEN CHARM</x:v>
      </x:c>
      <x:c r="C136" s="12" t="n">
        <x:v>2</x:v>
      </x:c>
      <x:c r="D136" s="12" t="str">
        <x:v>Green Charm — Omen
Green Charm — Glimmer</x:v>
      </x:c>
      <x:c r="E136" s="12" t="str">
        <x:v>0 / skill
0 / reaction</x:v>
      </x:c>
      <x:c r="F136" s="12" t="str">
        <x:v>6afa9885082e</x:v>
      </x:c>
      <x:c r="G136" s="12" t="n">
        <x:v>1</x:v>
      </x:c>
    </x:row>
    <x:row r="137" ht="26.399999618530273" hidden="0" customHeight="1">
      <x:c r="A137" s="12" t="str">
        <x:v>Green Crown</x:v>
      </x:c>
      <x:c r="B137" s="12" t="str">
        <x:v>GREEN HELM</x:v>
      </x:c>
      <x:c r="C137" s="12" t="n">
        <x:v>2</x:v>
      </x:c>
      <x:c r="D137" s="12" t="str">
        <x:v>Green Crown — Brace
Green Crown — Fitted Plate</x:v>
      </x:c>
      <x:c r="E137" s="12" t="str">
        <x:v>1 / skill
2 / reaction</x:v>
      </x:c>
      <x:c r="F137" s="12" t="str">
        <x:v>bdd325665b37</x:v>
      </x:c>
      <x:c r="G137" s="12" t="n">
        <x:v>1</x:v>
      </x:c>
    </x:row>
    <x:row r="138" ht="26.399999618530273" hidden="0" customHeight="1">
      <x:c r="A138" s="12" t="str">
        <x:v>Green Faulds</x:v>
      </x:c>
      <x:c r="B138" s="12" t="str">
        <x:v>GREEN FAULDS</x:v>
      </x:c>
      <x:c r="C138" s="12" t="n">
        <x:v>2</x:v>
      </x:c>
      <x:c r="D138" s="12" t="str">
        <x:v>Green Faulds — Brace
Green Faulds — Fitted Plate</x:v>
      </x:c>
      <x:c r="E138" s="12" t="str">
        <x:v>1 / skill
2 / reaction</x:v>
      </x:c>
      <x:c r="F138" s="12" t="str">
        <x:v>2c21dbe0eec3</x:v>
      </x:c>
      <x:c r="G138" s="12" t="n">
        <x:v>1</x:v>
      </x:c>
    </x:row>
    <x:row r="139" ht="26.399999618530273" hidden="0" customHeight="1">
      <x:c r="A139" s="12" t="str">
        <x:v>Green Gloves</x:v>
      </x:c>
      <x:c r="B139" s="12" t="str">
        <x:v>GREEN GLOVES</x:v>
      </x:c>
      <x:c r="C139" s="12" t="n">
        <x:v>2</x:v>
      </x:c>
      <x:c r="D139" s="12" t="str">
        <x:v>Green Gloves — Brace
Green Gloves — Fitted Plate</x:v>
      </x:c>
      <x:c r="E139" s="12" t="str">
        <x:v>1 / skill
1 / reaction</x:v>
      </x:c>
      <x:c r="F139" s="12" t="str">
        <x:v>f53fcd79296c</x:v>
      </x:c>
      <x:c r="G139" s="12" t="n">
        <x:v>1</x:v>
      </x:c>
    </x:row>
    <x:row r="140" ht="26.399999618530273" hidden="0" customHeight="1">
      <x:c r="A140" s="12" t="str">
        <x:v>Green Knight Armor Set</x:v>
      </x:c>
      <x:c r="B140" s="12" t="str">
        <x:v>GREEN KNIGHT ARMOR SET</x:v>
      </x:c>
      <x:c r="C140" s="12" t="n">
        <x:v>2</x:v>
      </x:c>
      <x:c r="D140" s="12" t="str">
        <x:v>Green Knight Armor Set — Brace
Green Knight Armor Set — Setline</x:v>
      </x:c>
      <x:c r="E140" s="12" t="str">
        <x:v>1 / skill
1 / reaction</x:v>
      </x:c>
      <x:c r="F140" s="12" t="str">
        <x:v>435a08aead50</x:v>
      </x:c>
      <x:c r="G140" s="12" t="n">
        <x:v>1</x:v>
      </x:c>
    </x:row>
    <x:row r="141" ht="26.399999618530273" hidden="0" customHeight="1">
      <x:c r="A141" s="12" t="str">
        <x:v>Green Plate</x:v>
      </x:c>
      <x:c r="B141" s="12" t="str">
        <x:v>GREEN PLATE</x:v>
      </x:c>
      <x:c r="C141" s="12" t="n">
        <x:v>2</x:v>
      </x:c>
      <x:c r="D141" s="12" t="str">
        <x:v>Green Plate — Brace
Green Plate — Fitted Plate</x:v>
      </x:c>
      <x:c r="E141" s="12" t="str">
        <x:v>1 / skill
2 / reaction</x:v>
      </x:c>
      <x:c r="F141" s="12" t="str">
        <x:v>afad1323526f</x:v>
      </x:c>
      <x:c r="G141" s="12" t="n">
        <x:v>1</x:v>
      </x:c>
    </x:row>
    <x:row r="142" ht="26.399999618530273" hidden="0" customHeight="1">
      <x:c r="A142" s="12" t="str">
        <x:v>Green Ring</x:v>
      </x:c>
      <x:c r="B142" s="12" t="str">
        <x:v>GREEN RING</x:v>
      </x:c>
      <x:c r="C142" s="12" t="n">
        <x:v>2</x:v>
      </x:c>
      <x:c r="D142" s="12" t="str">
        <x:v>Green Ring — Omen
Green Ring — Glimmer</x:v>
      </x:c>
      <x:c r="E142" s="12" t="str">
        <x:v>0 / skill
0 / reaction</x:v>
      </x:c>
      <x:c r="F142" s="12" t="str">
        <x:v>4a65bece11b6</x:v>
      </x:c>
      <x:c r="G142" s="12" t="n">
        <x:v>1</x:v>
      </x:c>
    </x:row>
    <x:row r="143" ht="26.399999618530273" hidden="0" customHeight="1">
      <x:c r="A143" s="12" t="str">
        <x:v>Green Treads</x:v>
      </x:c>
      <x:c r="B143" s="12" t="str">
        <x:v>GREEN BOOTS</x:v>
      </x:c>
      <x:c r="C143" s="12" t="n">
        <x:v>2</x:v>
      </x:c>
      <x:c r="D143" s="12" t="str">
        <x:v>Green Treads — Brace
Green Treads — Fitted Plate</x:v>
      </x:c>
      <x:c r="E143" s="12" t="str">
        <x:v>1 / skill
2 / reaction</x:v>
      </x:c>
      <x:c r="F143" s="12" t="str">
        <x:v>3013650e9ca6</x:v>
      </x:c>
      <x:c r="G143" s="12" t="n">
        <x:v>1</x:v>
      </x:c>
    </x:row>
    <x:row r="144" ht="26.399999618530273" hidden="0" customHeight="1">
      <x:c r="A144" s="12" t="str">
        <x:v>Griswaldo</x:v>
      </x:c>
      <x:c r="B144" s="12" t="str">
        <x:v>GRISWALDO</x:v>
      </x:c>
      <x:c r="C144" s="12" t="n">
        <x:v>2</x:v>
      </x:c>
      <x:c r="D144" s="12" t="str">
        <x:v>Griswaldo — Brace
Griswaldo — Fitted Plate</x:v>
      </x:c>
      <x:c r="E144" s="12" t="str">
        <x:v>1 / skill
2 / reaction</x:v>
      </x:c>
      <x:c r="F144" s="12" t="str">
        <x:v>b0485c39511f</x:v>
      </x:c>
      <x:c r="G144" s="12" t="n">
        <x:v>1</x:v>
      </x:c>
    </x:row>
    <x:row r="145" ht="26.399999618530273" hidden="0" customHeight="1">
      <x:c r="A145" s="12" t="str">
        <x:v>Hard Breastplate</x:v>
      </x:c>
      <x:c r="B145" s="12" t="str">
        <x:v>HARD BREASTPLATE</x:v>
      </x:c>
      <x:c r="C145" s="12" t="n">
        <x:v>2</x:v>
      </x:c>
      <x:c r="D145" s="12" t="str">
        <x:v>Hard Breastplate — Brace
Hard Breastplate — Fitted Plate</x:v>
      </x:c>
      <x:c r="E145" s="12" t="str">
        <x:v>1 / skill
1 / reaction</x:v>
      </x:c>
      <x:c r="F145" s="12" t="str">
        <x:v>2ef75fbcfc85</x:v>
      </x:c>
      <x:c r="G145" s="12" t="n">
        <x:v>1</x:v>
      </x:c>
    </x:row>
    <x:row r="146" ht="39.599998474121094" hidden="0" customHeight="1">
      <x:c r="A146" s="12" t="str">
        <x:v>Hardened Scrap Knife</x:v>
      </x:c>
      <x:c r="B146" s="12" t="str">
        <x:v>HARDENED SCRAP DAGGER</x:v>
      </x:c>
      <x:c r="C146" s="12" t="n">
        <x:v>3</x:v>
      </x:c>
      <x:c r="D146" s="12" t="str">
        <x:v>Hardened Scrap Knife — Opening Cut
Hardened Scrap Knife — Technique
Hardened Scrap Knife — Payoff</x:v>
      </x:c>
      <x:c r="E146" s="12" t="str">
        <x:v>0 / attack
2 / skill
2 / attack</x:v>
      </x:c>
      <x:c r="F146" s="12" t="str">
        <x:v>a4da00c0e42b</x:v>
      </x:c>
      <x:c r="G146" s="12" t="n">
        <x:v>1</x:v>
      </x:c>
    </x:row>
    <x:row r="147" ht="26.399999618530273" hidden="0" customHeight="1">
      <x:c r="A147" s="12" t="str">
        <x:v>Heavy Skull Crown</x:v>
      </x:c>
      <x:c r="B147" s="12" t="str">
        <x:v>HEAVY SKULL HELM</x:v>
      </x:c>
      <x:c r="C147" s="12" t="n">
        <x:v>2</x:v>
      </x:c>
      <x:c r="D147" s="12" t="str">
        <x:v>Heavy Skull Crown — Brace
Heavy Skull Crown — Fitted Plate</x:v>
      </x:c>
      <x:c r="E147" s="12" t="str">
        <x:v>1 / skill
1 / reaction</x:v>
      </x:c>
      <x:c r="F147" s="12" t="str">
        <x:v>db842fcac4e2</x:v>
      </x:c>
      <x:c r="G147" s="12" t="n">
        <x:v>1</x:v>
      </x:c>
    </x:row>
    <x:row r="148" ht="26.399999618530273" hidden="0" customHeight="1">
      <x:c r="A148" s="12" t="str">
        <x:v>Hide Armor Set</x:v>
      </x:c>
      <x:c r="B148" s="12" t="str">
        <x:v>LEATHER ARMOR SET</x:v>
      </x:c>
      <x:c r="C148" s="12" t="n">
        <x:v>2</x:v>
      </x:c>
      <x:c r="D148" s="12" t="str">
        <x:v>Hide Armor Set — Brace
Hide Armor Set — Setline</x:v>
      </x:c>
      <x:c r="E148" s="12" t="str">
        <x:v>1 / skill
2 / reaction</x:v>
      </x:c>
      <x:c r="F148" s="12" t="str">
        <x:v>6775326464aa</x:v>
      </x:c>
      <x:c r="G148" s="12" t="n">
        <x:v>1</x:v>
      </x:c>
    </x:row>
    <x:row r="149" ht="26.399999618530273" hidden="0" customHeight="1">
      <x:c r="A149" s="12" t="str">
        <x:v>Hide Bracers</x:v>
      </x:c>
      <x:c r="B149" s="12" t="str">
        <x:v>LEATHER BRACERS</x:v>
      </x:c>
      <x:c r="C149" s="12" t="n">
        <x:v>2</x:v>
      </x:c>
      <x:c r="D149" s="12" t="str">
        <x:v>Hide Bracers — Brace
Hide Bracers — Fitted Plate</x:v>
      </x:c>
      <x:c r="E149" s="12" t="str">
        <x:v>1 / skill
2 / reaction</x:v>
      </x:c>
      <x:c r="F149" s="12" t="str">
        <x:v>d231931992e8</x:v>
      </x:c>
      <x:c r="G149" s="12" t="n">
        <x:v>1</x:v>
      </x:c>
    </x:row>
    <x:row r="150" ht="26.399999618530273" hidden="0" customHeight="1">
      <x:c r="A150" s="12" t="str">
        <x:v>Hide Cuirass</x:v>
      </x:c>
      <x:c r="B150" s="12" t="str">
        <x:v>LEATHER CUIRASS</x:v>
      </x:c>
      <x:c r="C150" s="12" t="n">
        <x:v>2</x:v>
      </x:c>
      <x:c r="D150" s="12" t="str">
        <x:v>Hide Cuirass — Brace
Hide Cuirass — Fitted Plate</x:v>
      </x:c>
      <x:c r="E150" s="12" t="str">
        <x:v>1 / skill
1 / reaction</x:v>
      </x:c>
      <x:c r="F150" s="12" t="str">
        <x:v>4698c892c975</x:v>
      </x:c>
      <x:c r="G150" s="12" t="n">
        <x:v>1</x:v>
      </x:c>
    </x:row>
    <x:row r="151" ht="26.399999618530273" hidden="0" customHeight="1">
      <x:c r="A151" s="12" t="str">
        <x:v>Hide Skirt</x:v>
      </x:c>
      <x:c r="B151" s="12" t="str">
        <x:v>LEATHER SKIRT</x:v>
      </x:c>
      <x:c r="C151" s="12" t="n">
        <x:v>2</x:v>
      </x:c>
      <x:c r="D151" s="12" t="str">
        <x:v>Hide Skirt — Brace
Hide Skirt — Fitted Plate</x:v>
      </x:c>
      <x:c r="E151" s="12" t="str">
        <x:v>1 / skill
1 / reaction</x:v>
      </x:c>
      <x:c r="F151" s="12" t="str">
        <x:v>354cefcd8c8c</x:v>
      </x:c>
      <x:c r="G151" s="12" t="n">
        <x:v>1</x:v>
      </x:c>
    </x:row>
    <x:row r="152" ht="26.399999618530273" hidden="0" customHeight="1">
      <x:c r="A152" s="12" t="str">
        <x:v>Hide Treads</x:v>
      </x:c>
      <x:c r="B152" s="12" t="str">
        <x:v>LEATHER BOOTS</x:v>
      </x:c>
      <x:c r="C152" s="12" t="n">
        <x:v>2</x:v>
      </x:c>
      <x:c r="D152" s="12" t="str">
        <x:v>Hide Treads — Brace
Hide Treads — Fitted Plate</x:v>
      </x:c>
      <x:c r="E152" s="12" t="str">
        <x:v>1 / skill
1 / reaction</x:v>
      </x:c>
      <x:c r="F152" s="12" t="str">
        <x:v>6855b38e2767</x:v>
      </x:c>
      <x:c r="G152" s="12" t="n">
        <x:v>1</x:v>
      </x:c>
    </x:row>
    <x:row r="153" ht="26.399999618530273" hidden="0" customHeight="1">
      <x:c r="A153" s="12" t="str">
        <x:v>Hide Visage</x:v>
      </x:c>
      <x:c r="B153" s="12" t="str">
        <x:v>LEATHER MASK</x:v>
      </x:c>
      <x:c r="C153" s="12" t="n">
        <x:v>2</x:v>
      </x:c>
      <x:c r="D153" s="12" t="str">
        <x:v>Hide Visage — Omen
Hide Visage — Glimmer</x:v>
      </x:c>
      <x:c r="E153" s="12" t="str">
        <x:v>0 / skill
0 / reaction</x:v>
      </x:c>
      <x:c r="F153" s="12" t="str">
        <x:v>030d3806352b</x:v>
      </x:c>
      <x:c r="G153" s="12" t="n">
        <x:v>1</x:v>
      </x:c>
    </x:row>
    <x:row r="154" ht="39.599998474121094" hidden="0" customHeight="1">
      <x:c r="A154" s="12" t="str">
        <x:v>Hollow Blade</x:v>
      </x:c>
      <x:c r="B154" s="12" t="str">
        <x:v>HOLLOW SWORD</x:v>
      </x:c>
      <x:c r="C154" s="12" t="n">
        <x:v>3</x:v>
      </x:c>
      <x:c r="D154" s="12" t="str">
        <x:v>Hollow Blade — Opening Cut
Hollow Blade — Technique
Hollow Blade — Payoff</x:v>
      </x:c>
      <x:c r="E154" s="12" t="str">
        <x:v>1 / attack
2 / skill
2 / reaction</x:v>
      </x:c>
      <x:c r="F154" s="12" t="str">
        <x:v>f840c6a99e25</x:v>
      </x:c>
      <x:c r="G154" s="12" t="n">
        <x:v>1</x:v>
      </x:c>
    </x:row>
    <x:row r="155" ht="39.599998474121094" hidden="0" customHeight="1">
      <x:c r="A155" s="12" t="str">
        <x:v>Hollow Blade (Broken)</x:v>
      </x:c>
      <x:c r="B155" s="12" t="str">
        <x:v>HOLLOW SWORD (BROKEN)</x:v>
      </x:c>
      <x:c r="C155" s="12" t="n">
        <x:v>3</x:v>
      </x:c>
      <x:c r="D155" s="12" t="str">
        <x:v>Hollow Blade (Broken) — Opening Cut
Hollow Blade (Broken) — Technique
Hollow Blade (Broken) — Payoff</x:v>
      </x:c>
      <x:c r="E155" s="12" t="str">
        <x:v>2 / attack
1 / skill
3 / reaction</x:v>
      </x:c>
      <x:c r="F155" s="12" t="str">
        <x:v>35e248e4cfed</x:v>
      </x:c>
      <x:c r="G155" s="12" t="n">
        <x:v>1</x:v>
      </x:c>
    </x:row>
    <x:row r="156" ht="39.599998474121094" hidden="0" customHeight="1">
      <x:c r="A156" s="12" t="str">
        <x:v>Hollowpoint Arrow</x:v>
      </x:c>
      <x:c r="B156" s="12" t="str">
        <x:v>HOLLOWPOINT ARROW</x:v>
      </x:c>
      <x:c r="C156" s="12" t="n">
        <x:v>3</x:v>
      </x:c>
      <x:c r="D156" s="12" t="str">
        <x:v>Hollowpoint Arrow — Opening Strike
Hollowpoint Arrow — Technique
Hollowpoint Arrow — Payoff</x:v>
      </x:c>
      <x:c r="E156" s="12" t="str">
        <x:v>1 / attack
2 / skill
2 / attack</x:v>
      </x:c>
      <x:c r="F156" s="12" t="str">
        <x:v>b4d0dd323540</x:v>
      </x:c>
      <x:c r="G156" s="12" t="n">
        <x:v>1</x:v>
      </x:c>
    </x:row>
    <x:row r="157" ht="39.599998474121094" hidden="0" customHeight="1">
      <x:c r="A157" s="12" t="str">
        <x:v>Hooded Scrap Katar</x:v>
      </x:c>
      <x:c r="B157" s="12" t="str">
        <x:v>HOODED SCRAP KATAR</x:v>
      </x:c>
      <x:c r="C157" s="12" t="n">
        <x:v>3</x:v>
      </x:c>
      <x:c r="D157" s="12" t="str">
        <x:v>Hooded Scrap Katar — Opening Cut
Hooded Scrap Katar — Technique
Hooded Scrap Katar — Payoff</x:v>
      </x:c>
      <x:c r="E157" s="12" t="str">
        <x:v>0 / attack
1 / skill
2 / attack</x:v>
      </x:c>
      <x:c r="F157" s="12" t="str">
        <x:v>1b4212a1e3b0</x:v>
      </x:c>
      <x:c r="G157" s="12" t="n">
        <x:v>1</x:v>
      </x:c>
    </x:row>
    <x:row r="158" ht="39.599998474121094" hidden="0" customHeight="1">
      <x:c r="A158" s="12" t="str">
        <x:v>Hooked Claw Knife</x:v>
      </x:c>
      <x:c r="B158" s="12" t="str">
        <x:v>HOOKED CLAW KNIFE</x:v>
      </x:c>
      <x:c r="C158" s="12" t="n">
        <x:v>3</x:v>
      </x:c>
      <x:c r="D158" s="12" t="str">
        <x:v>Hooked Claw Knife — Opening Cut
Hooked Claw Knife — Technique
Hooked Claw Knife — Payoff</x:v>
      </x:c>
      <x:c r="E158" s="12" t="str">
        <x:v>0 / attack
2 / skill
2 / attack</x:v>
      </x:c>
      <x:c r="F158" s="12" t="str">
        <x:v>7567ccd00cf6</x:v>
      </x:c>
      <x:c r="G158" s="12" t="n">
        <x:v>1</x:v>
      </x:c>
    </x:row>
    <x:row r="159" ht="26.399999618530273" hidden="0" customHeight="1">
      <x:c r="A159" s="12" t="str">
        <x:v>Hours Ring</x:v>
      </x:c>
      <x:c r="B159" s="12" t="str">
        <x:v>HOURS RING</x:v>
      </x:c>
      <x:c r="C159" s="12" t="n">
        <x:v>2</x:v>
      </x:c>
      <x:c r="D159" s="12" t="str">
        <x:v>Hours Ring — Omen
Hours Ring — Glimmer</x:v>
      </x:c>
      <x:c r="E159" s="12" t="str">
        <x:v>0 / skill
0 / reaction</x:v>
      </x:c>
      <x:c r="F159" s="12" t="str">
        <x:v>6df9aa0ecd4c</x:v>
      </x:c>
      <x:c r="G159" s="12" t="n">
        <x:v>1</x:v>
      </x:c>
    </x:row>
    <x:row r="160" ht="39.599998474121094" hidden="0" customHeight="1">
      <x:c r="A160" s="12" t="str">
        <x:v>Hunter Beast Katar</x:v>
      </x:c>
      <x:c r="B160" s="12" t="str">
        <x:v>LION BEAST KATAR</x:v>
      </x:c>
      <x:c r="C160" s="12" t="n">
        <x:v>3</x:v>
      </x:c>
      <x:c r="D160" s="12" t="str">
        <x:v>Hunter Beast Katar — Opening Cut
Hunter Beast Katar — Technique
Hunter Beast Katar — Payoff</x:v>
      </x:c>
      <x:c r="E160" s="12" t="str">
        <x:v>0 / attack
2 / skill
2 / attack</x:v>
      </x:c>
      <x:c r="F160" s="12" t="str">
        <x:v>736ab92a9612</x:v>
      </x:c>
      <x:c r="G160" s="12" t="n">
        <x:v>1</x:v>
      </x:c>
    </x:row>
    <x:row r="161" ht="26.399999618530273" hidden="0" customHeight="1">
      <x:c r="A161" s="12" t="str">
        <x:v>Hunter Headdress</x:v>
      </x:c>
      <x:c r="B161" s="12" t="str">
        <x:v>LION HEADDRESS</x:v>
      </x:c>
      <x:c r="C161" s="12" t="n">
        <x:v>2</x:v>
      </x:c>
      <x:c r="D161" s="12" t="str">
        <x:v>Hunter Headdress — Brace
Hunter Headdress — Fitted Plate</x:v>
      </x:c>
      <x:c r="E161" s="12" t="str">
        <x:v>1 / skill
1 / reaction</x:v>
      </x:c>
      <x:c r="F161" s="12" t="str">
        <x:v>fe99e19f145b</x:v>
      </x:c>
      <x:c r="G161" s="12" t="n">
        <x:v>1</x:v>
      </x:c>
    </x:row>
    <x:row r="162" ht="26.399999618530273" hidden="0" customHeight="1">
      <x:c r="A162" s="12" t="str">
        <x:v>Hunter Skin Cloak</x:v>
      </x:c>
      <x:c r="B162" s="12" t="str">
        <x:v>LION SKIN CLOAK</x:v>
      </x:c>
      <x:c r="C162" s="12" t="n">
        <x:v>2</x:v>
      </x:c>
      <x:c r="D162" s="12" t="str">
        <x:v>Hunter Skin Cloak — Brace
Hunter Skin Cloak — Fitted Plate</x:v>
      </x:c>
      <x:c r="E162" s="12" t="str">
        <x:v>1 / skill
2 / reaction</x:v>
      </x:c>
      <x:c r="F162" s="12" t="str">
        <x:v>7632ebc489d6</x:v>
      </x:c>
      <x:c r="G162" s="12" t="n">
        <x:v>1</x:v>
      </x:c>
    </x:row>
    <x:row r="163" ht="39.599998474121094" hidden="0" customHeight="1">
      <x:c r="A163" s="12" t="str">
        <x:v>Hunter Slayer Cape</x:v>
      </x:c>
      <x:c r="B163" s="12" t="str">
        <x:v>LION SLAYER CAPE</x:v>
      </x:c>
      <x:c r="C163" s="12" t="n">
        <x:v>3</x:v>
      </x:c>
      <x:c r="D163" s="12" t="str">
        <x:v>Hunter Slayer Cape — Opening Strike
Hunter Slayer Cape — Technique
Hunter Slayer Cape — Payoff</x:v>
      </x:c>
      <x:c r="E163" s="12" t="str">
        <x:v>2 / attack
1 / skill
3 / attack</x:v>
      </x:c>
      <x:c r="F163" s="12" t="str">
        <x:v>468a8624f80e</x:v>
      </x:c>
      <x:c r="G163" s="12" t="n">
        <x:v>1</x:v>
      </x:c>
    </x:row>
    <x:row r="164" ht="39.599998474121094" hidden="0" customHeight="1">
      <x:c r="A164" s="12" t="str">
        <x:v>Hunter Whip</x:v>
      </x:c>
      <x:c r="B164" s="12" t="str">
        <x:v>HUNTER WHIP</x:v>
      </x:c>
      <x:c r="C164" s="12" t="n">
        <x:v>3</x:v>
      </x:c>
      <x:c r="D164" s="12" t="str">
        <x:v>Hunter Whip — Opening Strike
Hunter Whip — Technique
Hunter Whip — Payoff</x:v>
      </x:c>
      <x:c r="E164" s="12" t="str">
        <x:v>1 / attack
2 / skill
2 / attack</x:v>
      </x:c>
      <x:c r="F164" s="12" t="str">
        <x:v>3263febac435</x:v>
      </x:c>
      <x:c r="G164" s="12" t="n">
        <x:v>1</x:v>
      </x:c>
    </x:row>
    <x:row r="165" ht="26.399999618530273" hidden="0" customHeight="1">
      <x:c r="A165" s="12" t="str">
        <x:v>Hunter's Roar (Hunt Phase)</x:v>
      </x:c>
      <x:c r="B165" s="12" t="str">
        <x:v>LION'S ROAR (HUNT PHASE)</x:v>
      </x:c>
      <x:c r="C165" s="12" t="n">
        <x:v>2</x:v>
      </x:c>
      <x:c r="D165" s="12" t="str">
        <x:v>Hunter's Roar (Hunt Phase) — Use
Hunter's Roar (Hunt Phase) — Contingency</x:v>
      </x:c>
      <x:c r="E165" s="12" t="str">
        <x:v>0 / skill
0 / reaction</x:v>
      </x:c>
      <x:c r="F165" s="12" t="str">
        <x:v>6299d70883c7</x:v>
      </x:c>
      <x:c r="G165" s="12" t="n">
        <x:v>1</x:v>
      </x:c>
    </x:row>
    <x:row r="166" ht="26.399999618530273" hidden="0" customHeight="1">
      <x:c r="A166" s="12" t="str">
        <x:v>Hunter's Roar (Showdown Phase)</x:v>
      </x:c>
      <x:c r="B166" s="12" t="str">
        <x:v>LION'S ROAR (SHOWDOWN PHASE)</x:v>
      </x:c>
      <x:c r="C166" s="12" t="n">
        <x:v>2</x:v>
      </x:c>
      <x:c r="D166" s="12" t="str">
        <x:v>Hunter's Roar (Showdown Phase) — Use
Hunter's Roar (Showdown Phase) — Contingency</x:v>
      </x:c>
      <x:c r="E166" s="12" t="str">
        <x:v>1 / skill
1 / reaction</x:v>
      </x:c>
      <x:c r="F166" s="12" t="str">
        <x:v>21f3d8917d79</x:v>
      </x:c>
      <x:c r="G166" s="12" t="n">
        <x:v>1</x:v>
      </x:c>
    </x:row>
    <x:row r="167" ht="26.399999618530273" hidden="0" customHeight="1">
      <x:c r="A167" s="12" t="str">
        <x:v>Ignis Fatuus</x:v>
      </x:c>
      <x:c r="B167" s="12" t="str">
        <x:v>IGNIS FATUUS</x:v>
      </x:c>
      <x:c r="C167" s="12" t="n">
        <x:v>2</x:v>
      </x:c>
      <x:c r="D167" s="12" t="str">
        <x:v>Ignis Fatuus — Use
Ignis Fatuus — Contingency</x:v>
      </x:c>
      <x:c r="E167" s="12" t="str">
        <x:v>0 / skill
1 / reaction</x:v>
      </x:c>
      <x:c r="F167" s="12" t="str">
        <x:v>fffcf49142eb</x:v>
      </x:c>
      <x:c r="G167" s="12" t="n">
        <x:v>1</x:v>
      </x:c>
    </x:row>
    <x:row r="168" ht="26.399999618530273" hidden="0" customHeight="1">
      <x:c r="A168" s="12" t="str">
        <x:v>Ink Bagpipes (Hunt Phase)</x:v>
      </x:c>
      <x:c r="B168" s="12" t="str">
        <x:v>INK BAGPIPES (HUNT PHASE)</x:v>
      </x:c>
      <x:c r="C168" s="12" t="n">
        <x:v>2</x:v>
      </x:c>
      <x:c r="D168" s="12" t="str">
        <x:v>Ink Bagpipes (Hunt Phase) — Use
Ink Bagpipes (Hunt Phase) — Contingency</x:v>
      </x:c>
      <x:c r="E168" s="12" t="str">
        <x:v>0 / skill
0 / reaction</x:v>
      </x:c>
      <x:c r="F168" s="12" t="str">
        <x:v>95866746fdae</x:v>
      </x:c>
      <x:c r="G168" s="12" t="n">
        <x:v>1</x:v>
      </x:c>
    </x:row>
    <x:row r="169" ht="26.399999618530273" hidden="0" customHeight="1">
      <x:c r="A169" s="12" t="str">
        <x:v>Ink Bagpipes (Showdown Phase)</x:v>
      </x:c>
      <x:c r="B169" s="12" t="str">
        <x:v>INK BAGPIPES (SHOWDOWN PHASE)</x:v>
      </x:c>
      <x:c r="C169" s="12" t="n">
        <x:v>2</x:v>
      </x:c>
      <x:c r="D169" s="12" t="str">
        <x:v>Ink Bagpipes (Showdown Phase) — Use
Ink Bagpipes (Showdown Phase) — Contingency</x:v>
      </x:c>
      <x:c r="E169" s="12" t="str">
        <x:v>1 / skill
1 / reaction</x:v>
      </x:c>
      <x:c r="F169" s="12" t="str">
        <x:v>dc78cdfec8c6</x:v>
      </x:c>
      <x:c r="G169" s="12" t="n">
        <x:v>1</x:v>
      </x:c>
    </x:row>
    <x:row r="170" ht="39.599998474121094" hidden="0" customHeight="1">
      <x:c r="A170" s="12" t="str">
        <x:v>Ink Blade</x:v>
      </x:c>
      <x:c r="B170" s="12" t="str">
        <x:v>INK SWORD</x:v>
      </x:c>
      <x:c r="C170" s="12" t="n">
        <x:v>3</x:v>
      </x:c>
      <x:c r="D170" s="12" t="str">
        <x:v>Ink Blade — Opening Cut
Ink Blade — Technique
Ink Blade — Payoff</x:v>
      </x:c>
      <x:c r="E170" s="12" t="str">
        <x:v>1 / attack
1 / skill
2 / reaction</x:v>
      </x:c>
      <x:c r="F170" s="12" t="str">
        <x:v>fe36979b7698</x:v>
      </x:c>
      <x:c r="G170" s="12" t="n">
        <x:v>1</x:v>
      </x:c>
    </x:row>
    <x:row r="171" ht="39.599998474121094" hidden="0" customHeight="1">
      <x:c r="A171" s="12" t="str">
        <x:v>Ink Blood Bow</x:v>
      </x:c>
      <x:c r="B171" s="12" t="str">
        <x:v>INK BLOOD BOW</x:v>
      </x:c>
      <x:c r="C171" s="12" t="n">
        <x:v>3</x:v>
      </x:c>
      <x:c r="D171" s="12" t="str">
        <x:v>Ink Blood Bow — Opening Strike
Ink Blood Bow — Technique
Ink Blood Bow — Payoff</x:v>
      </x:c>
      <x:c r="E171" s="12" t="str">
        <x:v>1 / attack
2 / skill
2 / attack</x:v>
      </x:c>
      <x:c r="F171" s="12" t="str">
        <x:v>20a8b42c3961</x:v>
      </x:c>
      <x:c r="G171" s="12" t="n">
        <x:v>1</x:v>
      </x:c>
    </x:row>
    <x:row r="172" ht="26.399999618530273" hidden="0" customHeight="1">
      <x:c r="A172" s="12" t="str">
        <x:v>Jack O' Lantern</x:v>
      </x:c>
      <x:c r="B172" s="12" t="str">
        <x:v>JACK O' LANTERN</x:v>
      </x:c>
      <x:c r="C172" s="12" t="n">
        <x:v>2</x:v>
      </x:c>
      <x:c r="D172" s="12" t="str">
        <x:v>Jack O' Lantern — Use
Jack O' Lantern — Contingency</x:v>
      </x:c>
      <x:c r="E172" s="12" t="str">
        <x:v>0 / skill
1 / reaction</x:v>
      </x:c>
      <x:c r="F172" s="12" t="str">
        <x:v>5168e00155d1</x:v>
      </x:c>
      <x:c r="G172" s="12" t="n">
        <x:v>1</x:v>
      </x:c>
    </x:row>
    <x:row r="173" ht="39.599998474121094" hidden="0" customHeight="1">
      <x:c r="A173" s="12" t="str">
        <x:v>Juggernaut Knife</x:v>
      </x:c>
      <x:c r="B173" s="12" t="str">
        <x:v>JUGGERNAUT DAGGER</x:v>
      </x:c>
      <x:c r="C173" s="12" t="n">
        <x:v>3</x:v>
      </x:c>
      <x:c r="D173" s="12" t="str">
        <x:v>Juggernaut Knife — Opening Cut
Juggernaut Knife — Technique
Juggernaut Knife — Payoff</x:v>
      </x:c>
      <x:c r="E173" s="12" t="str">
        <x:v>0 / attack
1 / skill
2 / attack</x:v>
      </x:c>
      <x:c r="F173" s="12" t="str">
        <x:v>8075dca71129</x:v>
      </x:c>
      <x:c r="G173" s="12" t="n">
        <x:v>1</x:v>
      </x:c>
    </x:row>
    <x:row r="174" ht="39.599998474121094" hidden="0" customHeight="1">
      <x:c r="A174" s="12" t="str">
        <x:v>King Spear</x:v>
      </x:c>
      <x:c r="B174" s="12" t="str">
        <x:v>KING SPEAR</x:v>
      </x:c>
      <x:c r="C174" s="12" t="n">
        <x:v>3</x:v>
      </x:c>
      <x:c r="D174" s="12" t="str">
        <x:v>King Spear — Opening Strike
King Spear — Technique
King Spear — Payoff</x:v>
      </x:c>
      <x:c r="E174" s="12" t="str">
        <x:v>1 / attack
2 / skill
2 / attack</x:v>
      </x:c>
      <x:c r="F174" s="12" t="str">
        <x:v>28101e2d1dcd</x:v>
      </x:c>
      <x:c r="G174" s="12" t="n">
        <x:v>1</x:v>
      </x:c>
    </x:row>
    <x:row r="175" ht="39.599998474121094" hidden="0" customHeight="1">
      <x:c r="A175" s="12" t="str">
        <x:v>Knuckle Guard</x:v>
      </x:c>
      <x:c r="B175" s="12" t="str">
        <x:v>KNUCKLE SHIELD</x:v>
      </x:c>
      <x:c r="C175" s="12" t="n">
        <x:v>3</x:v>
      </x:c>
      <x:c r="D175" s="12" t="str">
        <x:v>Knuckle Guard — Opening Strike
Knuckle Guard — Technique
Knuckle Guard — Payoff</x:v>
      </x:c>
      <x:c r="E175" s="12" t="str">
        <x:v>0 / attack
1 / skill
2 / reaction</x:v>
      </x:c>
      <x:c r="F175" s="12" t="str">
        <x:v>9adf99cb29c4</x:v>
      </x:c>
      <x:c r="G175" s="12" t="n">
        <x:v>1</x:v>
      </x:c>
    </x:row>
    <x:row r="176" ht="39.599998474121094" hidden="0" customHeight="1">
      <x:c r="A176" s="12" t="str">
        <x:v>Lance of Longinus</x:v>
      </x:c>
      <x:c r="B176" s="12" t="str">
        <x:v>LANCE OF LONGINUS</x:v>
      </x:c>
      <x:c r="C176" s="12" t="n">
        <x:v>3</x:v>
      </x:c>
      <x:c r="D176" s="12" t="str">
        <x:v>Lance of Longinus — Opening Strike
Lance of Longinus — Technique
Lance of Longinus — Payoff</x:v>
      </x:c>
      <x:c r="E176" s="12" t="str">
        <x:v>1 / attack
2 / skill
2 / attack</x:v>
      </x:c>
      <x:c r="F176" s="12" t="str">
        <x:v>6ad8647ddb7a</x:v>
      </x:c>
      <x:c r="G176" s="12" t="n">
        <x:v>1</x:v>
      </x:c>
    </x:row>
    <x:row r="177" ht="26.399999618530273" hidden="0" customHeight="1">
      <x:c r="A177" s="12" t="str">
        <x:v>Lantern Armor Set</x:v>
      </x:c>
      <x:c r="B177" s="12" t="str">
        <x:v>LANTERN ARMOR SET</x:v>
      </x:c>
      <x:c r="C177" s="12" t="n">
        <x:v>2</x:v>
      </x:c>
      <x:c r="D177" s="12" t="str">
        <x:v>Lantern Armor Set — Brace
Lantern Armor Set — Setline</x:v>
      </x:c>
      <x:c r="E177" s="12" t="str">
        <x:v>1 / skill
1 / reaction</x:v>
      </x:c>
      <x:c r="F177" s="12" t="str">
        <x:v>1a960ec30a8a</x:v>
      </x:c>
      <x:c r="G177" s="12" t="n">
        <x:v>1</x:v>
      </x:c>
    </x:row>
    <x:row r="178" ht="39.599998474121094" hidden="0" customHeight="1">
      <x:c r="A178" s="12" t="str">
        <x:v>Lantern Blade</x:v>
      </x:c>
      <x:c r="B178" s="12" t="str">
        <x:v>LANTERN SWORD</x:v>
      </x:c>
      <x:c r="C178" s="12" t="n">
        <x:v>3</x:v>
      </x:c>
      <x:c r="D178" s="12" t="str">
        <x:v>Lantern Blade — Opening Cut
Lantern Blade — Technique
Lantern Blade — Payoff</x:v>
      </x:c>
      <x:c r="E178" s="12" t="str">
        <x:v>1 / attack
1 / skill
2 / reaction</x:v>
      </x:c>
      <x:c r="F178" s="12" t="str">
        <x:v>d83937e9dbfe</x:v>
      </x:c>
      <x:c r="G178" s="12" t="n">
        <x:v>1</x:v>
      </x:c>
    </x:row>
    <x:row r="179" ht="26.399999618530273" hidden="0" customHeight="1">
      <x:c r="A179" s="12" t="str">
        <x:v>Lantern Crown</x:v>
      </x:c>
      <x:c r="B179" s="12" t="str">
        <x:v>LANTERN HELM</x:v>
      </x:c>
      <x:c r="C179" s="12" t="n">
        <x:v>2</x:v>
      </x:c>
      <x:c r="D179" s="12" t="str">
        <x:v>Lantern Crown — Brace
Lantern Crown — Fitted Plate</x:v>
      </x:c>
      <x:c r="E179" s="12" t="str">
        <x:v>1 / skill
1 / reaction</x:v>
      </x:c>
      <x:c r="F179" s="12" t="str">
        <x:v>1f9436d36dc0</x:v>
      </x:c>
      <x:c r="G179" s="12" t="n">
        <x:v>1</x:v>
      </x:c>
    </x:row>
    <x:row r="180" ht="26.399999618530273" hidden="0" customHeight="1">
      <x:c r="A180" s="12" t="str">
        <x:v>Lantern Cuirass</x:v>
      </x:c>
      <x:c r="B180" s="12" t="str">
        <x:v>LANTERN CUIRASS</x:v>
      </x:c>
      <x:c r="C180" s="12" t="n">
        <x:v>2</x:v>
      </x:c>
      <x:c r="D180" s="12" t="str">
        <x:v>Lantern Cuirass — Brace
Lantern Cuirass — Fitted Plate</x:v>
      </x:c>
      <x:c r="E180" s="12" t="str">
        <x:v>1 / skill
2 / reaction</x:v>
      </x:c>
      <x:c r="F180" s="12" t="str">
        <x:v>9eb2f0e51278</x:v>
      </x:c>
      <x:c r="G180" s="12" t="n">
        <x:v>1</x:v>
      </x:c>
    </x:row>
    <x:row r="181" ht="39.599998474121094" hidden="0" customHeight="1">
      <x:c r="A181" s="12" t="str">
        <x:v>Lantern Glaive</x:v>
      </x:c>
      <x:c r="B181" s="12" t="str">
        <x:v>LANTERN GLAIVE</x:v>
      </x:c>
      <x:c r="C181" s="12" t="n">
        <x:v>3</x:v>
      </x:c>
      <x:c r="D181" s="12" t="str">
        <x:v>Lantern Glaive — Opening Strike
Lantern Glaive — Technique
Lantern Glaive — Payoff</x:v>
      </x:c>
      <x:c r="E181" s="12" t="str">
        <x:v>1 / attack
1 / skill
2 / attack</x:v>
      </x:c>
      <x:c r="F181" s="12" t="str">
        <x:v>022bd8e078ec</x:v>
      </x:c>
      <x:c r="G181" s="12" t="n">
        <x:v>1</x:v>
      </x:c>
    </x:row>
    <x:row r="182" ht="26.399999618530273" hidden="0" customHeight="1">
      <x:c r="A182" s="12" t="str">
        <x:v>Lantern Gloves</x:v>
      </x:c>
      <x:c r="B182" s="12" t="str">
        <x:v>LANTERN GAUNTLETS</x:v>
      </x:c>
      <x:c r="C182" s="12" t="n">
        <x:v>2</x:v>
      </x:c>
      <x:c r="D182" s="12" t="str">
        <x:v>Lantern Gloves — Brace
Lantern Gloves — Fitted Plate</x:v>
      </x:c>
      <x:c r="E182" s="12" t="str">
        <x:v>1 / skill
2 / reaction</x:v>
      </x:c>
      <x:c r="F182" s="12" t="str">
        <x:v>cf77ba7f2e92</x:v>
      </x:c>
      <x:c r="G182" s="12" t="n">
        <x:v>1</x:v>
      </x:c>
    </x:row>
    <x:row r="183" ht="26.399999618530273" hidden="0" customHeight="1">
      <x:c r="A183" s="12" t="str">
        <x:v>Lantern Gong (Hunt Phase)</x:v>
      </x:c>
      <x:c r="B183" s="12" t="str">
        <x:v>LANTERN GONG (HUNT PHASE)</x:v>
      </x:c>
      <x:c r="C183" s="12" t="n">
        <x:v>2</x:v>
      </x:c>
      <x:c r="D183" s="12" t="str">
        <x:v>Lantern Gong (Hunt Phase) — Use
Lantern Gong (Hunt Phase) — Contingency</x:v>
      </x:c>
      <x:c r="E183" s="12" t="str">
        <x:v>0 / skill
0 / reaction</x:v>
      </x:c>
      <x:c r="F183" s="12" t="str">
        <x:v>ebd2fe7761e8</x:v>
      </x:c>
      <x:c r="G183" s="12" t="n">
        <x:v>1</x:v>
      </x:c>
    </x:row>
    <x:row r="184" ht="26.399999618530273" hidden="0" customHeight="1">
      <x:c r="A184" s="12" t="str">
        <x:v>Lantern Gong (Showdown Phase)</x:v>
      </x:c>
      <x:c r="B184" s="12" t="str">
        <x:v>LANTERN GONG (SHOWDOWN PHASE)</x:v>
      </x:c>
      <x:c r="C184" s="12" t="n">
        <x:v>2</x:v>
      </x:c>
      <x:c r="D184" s="12" t="str">
        <x:v>Lantern Gong (Showdown Phase) — Use
Lantern Gong (Showdown Phase) — Contingency</x:v>
      </x:c>
      <x:c r="E184" s="12" t="str">
        <x:v>0 / skill
1 / reaction</x:v>
      </x:c>
      <x:c r="F184" s="12" t="str">
        <x:v>ce126befeb2e</x:v>
      </x:c>
      <x:c r="G184" s="12" t="n">
        <x:v>1</x:v>
      </x:c>
    </x:row>
    <x:row r="185" ht="26.399999618530273" hidden="0" customHeight="1">
      <x:c r="A185" s="12" t="str">
        <x:v>Lantern Greaves</x:v>
      </x:c>
      <x:c r="B185" s="12" t="str">
        <x:v>LANTERN GREAVES</x:v>
      </x:c>
      <x:c r="C185" s="12" t="n">
        <x:v>2</x:v>
      </x:c>
      <x:c r="D185" s="12" t="str">
        <x:v>Lantern Greaves — Brace
Lantern Greaves — Fitted Plate</x:v>
      </x:c>
      <x:c r="E185" s="12" t="str">
        <x:v>1 / skill
2 / reaction</x:v>
      </x:c>
      <x:c r="F185" s="12" t="str">
        <x:v>6afce286855b</x:v>
      </x:c>
      <x:c r="G185" s="12" t="n">
        <x:v>1</x:v>
      </x:c>
    </x:row>
    <x:row r="186" ht="39.599998474121094" hidden="0" customHeight="1">
      <x:c r="A186" s="12" t="str">
        <x:v>Lantern Knife</x:v>
      </x:c>
      <x:c r="B186" s="12" t="str">
        <x:v>LANTERN DAGGER</x:v>
      </x:c>
      <x:c r="C186" s="12" t="n">
        <x:v>3</x:v>
      </x:c>
      <x:c r="D186" s="12" t="str">
        <x:v>Lantern Knife — Opening Cut
Lantern Knife — Technique
Lantern Knife — Payoff</x:v>
      </x:c>
      <x:c r="E186" s="12" t="str">
        <x:v>0 / attack
1 / skill
2 / attack</x:v>
      </x:c>
      <x:c r="F186" s="12" t="str">
        <x:v>85c8ce4eca87</x:v>
      </x:c>
      <x:c r="G186" s="12" t="n">
        <x:v>1</x:v>
      </x:c>
    </x:row>
    <x:row r="187" ht="26.399999618530273" hidden="0" customHeight="1">
      <x:c r="A187" s="12" t="str">
        <x:v>Lantern Mail</x:v>
      </x:c>
      <x:c r="B187" s="12" t="str">
        <x:v>LANTERN MAIL</x:v>
      </x:c>
      <x:c r="C187" s="12" t="n">
        <x:v>2</x:v>
      </x:c>
      <x:c r="D187" s="12" t="str">
        <x:v>Lantern Mail — Brace
Lantern Mail — Fitted Plate</x:v>
      </x:c>
      <x:c r="E187" s="12" t="str">
        <x:v>1 / skill
2 / reaction</x:v>
      </x:c>
      <x:c r="F187" s="12" t="str">
        <x:v>9142b04436a9</x:v>
      </x:c>
      <x:c r="G187" s="12" t="n">
        <x:v>1</x:v>
      </x:c>
    </x:row>
    <x:row r="188" ht="26.399999618530273" hidden="0" customHeight="1">
      <x:c r="A188" s="12" t="str">
        <x:v>Lucky Charm</x:v>
      </x:c>
      <x:c r="B188" s="12" t="str">
        <x:v>LUCKY CHARM</x:v>
      </x:c>
      <x:c r="C188" s="12" t="n">
        <x:v>2</x:v>
      </x:c>
      <x:c r="D188" s="12" t="str">
        <x:v>Lucky Charm — Omen
Lucky Charm — Glimmer</x:v>
      </x:c>
      <x:c r="E188" s="12" t="str">
        <x:v>0 / skill
0 / reaction</x:v>
      </x:c>
      <x:c r="F188" s="12" t="str">
        <x:v>155bcbe9cee5</x:v>
      </x:c>
      <x:c r="G188" s="12" t="n">
        <x:v>1</x:v>
      </x:c>
    </x:row>
    <x:row r="189" ht="26.399999618530273" hidden="0" customHeight="1">
      <x:c r="A189" s="12" t="str">
        <x:v>Man Visage</x:v>
      </x:c>
      <x:c r="B189" s="12" t="str">
        <x:v>MAN MASK</x:v>
      </x:c>
      <x:c r="C189" s="12" t="n">
        <x:v>2</x:v>
      </x:c>
      <x:c r="D189" s="12" t="str">
        <x:v>Man Visage — Omen
Man Visage — Glimmer</x:v>
      </x:c>
      <x:c r="E189" s="12" t="str">
        <x:v>0 / skill
0 / reaction</x:v>
      </x:c>
      <x:c r="F189" s="12" t="str">
        <x:v>41a2a37953f7</x:v>
      </x:c>
      <x:c r="G189" s="12" t="n">
        <x:v>1</x:v>
      </x:c>
    </x:row>
    <x:row r="190" ht="39.599998474121094" hidden="0" customHeight="1">
      <x:c r="A190" s="12" t="str">
        <x:v>Metronome</x:v>
      </x:c>
      <x:c r="B190" s="12" t="str">
        <x:v>METRONOME</x:v>
      </x:c>
      <x:c r="C190" s="12" t="n">
        <x:v>3</x:v>
      </x:c>
      <x:c r="D190" s="12" t="str">
        <x:v>Metronome — Opening Strike
Metronome — Technique
Metronome — Payoff</x:v>
      </x:c>
      <x:c r="E190" s="12" t="str">
        <x:v>1 / attack
2 / skill
2 / attack</x:v>
      </x:c>
      <x:c r="F190" s="12" t="str">
        <x:v>204f7102e223</x:v>
      </x:c>
      <x:c r="G190" s="12" t="n">
        <x:v>1</x:v>
      </x:c>
    </x:row>
    <x:row r="191" ht="26.399999618530273" hidden="0" customHeight="1">
      <x:c r="A191" s="12" t="str">
        <x:v>Monster Grease</x:v>
      </x:c>
      <x:c r="B191" s="12" t="str">
        <x:v>MONSTER GREASE</x:v>
      </x:c>
      <x:c r="C191" s="12" t="n">
        <x:v>2</x:v>
      </x:c>
      <x:c r="D191" s="12" t="str">
        <x:v>Monster Grease — Use
Monster Grease — Contingency</x:v>
      </x:c>
      <x:c r="E191" s="12" t="str">
        <x:v>0 / skill
1 / reaction</x:v>
      </x:c>
      <x:c r="F191" s="12" t="str">
        <x:v>635bdd7ad21c</x:v>
      </x:c>
      <x:c r="G191" s="12" t="n">
        <x:v>1</x:v>
      </x:c>
    </x:row>
    <x:row r="192" ht="39.599998474121094" hidden="0" customHeight="1">
      <x:c r="A192" s="12" t="str">
        <x:v>Monster Tooth Necklace</x:v>
      </x:c>
      <x:c r="B192" s="12" t="str">
        <x:v>MONSTER TOOTH NECKLACE</x:v>
      </x:c>
      <x:c r="C192" s="12" t="n">
        <x:v>3</x:v>
      </x:c>
      <x:c r="D192" s="12" t="str">
        <x:v>Monster Tooth Necklace — Opening Strike
Monster Tooth Necklace — Technique
Monster Tooth Necklace — Payoff</x:v>
      </x:c>
      <x:c r="E192" s="12" t="str">
        <x:v>0 / attack
2 / skill
2 / reaction</x:v>
      </x:c>
      <x:c r="F192" s="12" t="str">
        <x:v>68caa4dbcc04</x:v>
      </x:c>
      <x:c r="G192" s="12" t="n">
        <x:v>1</x:v>
      </x:c>
    </x:row>
    <x:row r="193" ht="26.399999618530273" hidden="0" customHeight="1">
      <x:c r="A193" s="12" t="str">
        <x:v>Musk Bomb</x:v>
      </x:c>
      <x:c r="B193" s="12" t="str">
        <x:v>MUSK BOMB</x:v>
      </x:c>
      <x:c r="C193" s="12" t="n">
        <x:v>2</x:v>
      </x:c>
      <x:c r="D193" s="12" t="str">
        <x:v>Musk Bomb — Use
Musk Bomb — Contingency</x:v>
      </x:c>
      <x:c r="E193" s="12" t="str">
        <x:v>0 / skill
1 / reaction</x:v>
      </x:c>
      <x:c r="F193" s="12" t="str">
        <x:v>fe725cc1fe7c</x:v>
      </x:c>
      <x:c r="G193" s="12" t="n">
        <x:v>1</x:v>
      </x:c>
    </x:row>
    <x:row r="194" ht="39.599998474121094" hidden="0" customHeight="1">
      <x:c r="A194" s="12" t="str">
        <x:v>Nightmare Quiver</x:v>
      </x:c>
      <x:c r="B194" s="12" t="str">
        <x:v>NIGHTMARE QUIVER</x:v>
      </x:c>
      <x:c r="C194" s="12" t="n">
        <x:v>3</x:v>
      </x:c>
      <x:c r="D194" s="12" t="str">
        <x:v>Nightmare Quiver — Opening Strike
Nightmare Quiver — Technique
Nightmare Quiver — Payoff</x:v>
      </x:c>
      <x:c r="E194" s="12" t="str">
        <x:v>1 / attack
2 / skill
2 / attack</x:v>
      </x:c>
      <x:c r="F194" s="12" t="str">
        <x:v>39d1d059ff74</x:v>
      </x:c>
      <x:c r="G194" s="12" t="n">
        <x:v>1</x:v>
      </x:c>
    </x:row>
    <x:row r="195" ht="26.399999618530273" hidden="0" customHeight="1">
      <x:c r="A195" s="12" t="str">
        <x:v>Noon Lure &amp; Hook</x:v>
      </x:c>
      <x:c r="B195" s="12" t="str">
        <x:v>SUN LURE &amp; HOOK</x:v>
      </x:c>
      <x:c r="C195" s="12" t="n">
        <x:v>2</x:v>
      </x:c>
      <x:c r="D195" s="12" t="str">
        <x:v>Noon Lure &amp; Hook — Use
Noon Lure &amp; Hook — Contingency</x:v>
      </x:c>
      <x:c r="E195" s="12" t="str">
        <x:v>1 / skill
1 / reaction</x:v>
      </x:c>
      <x:c r="F195" s="12" t="str">
        <x:v>3197bc11af71</x:v>
      </x:c>
      <x:c r="G195" s="12" t="n">
        <x:v>1</x:v>
      </x:c>
    </x:row>
    <x:row r="196" ht="39.599998474121094" hidden="0" customHeight="1">
      <x:c r="A196" s="12" t="str">
        <x:v>Noonshark Arrows</x:v>
      </x:c>
      <x:c r="B196" s="12" t="str">
        <x:v>SUNSHARK ARROWS</x:v>
      </x:c>
      <x:c r="C196" s="12" t="n">
        <x:v>3</x:v>
      </x:c>
      <x:c r="D196" s="12" t="str">
        <x:v>Noonshark Arrows — Opening Strike
Noonshark Arrows — Technique
Noonshark Arrows — Payoff</x:v>
      </x:c>
      <x:c r="E196" s="12" t="str">
        <x:v>1 / attack
2 / skill
2 / attack</x:v>
      </x:c>
      <x:c r="F196" s="12" t="str">
        <x:v>654393fe3c6d</x:v>
      </x:c>
      <x:c r="G196" s="12" t="n">
        <x:v>1</x:v>
      </x:c>
    </x:row>
    <x:row r="197" ht="39.599998474121094" hidden="0" customHeight="1">
      <x:c r="A197" s="12" t="str">
        <x:v>Noonshark Bow</x:v>
      </x:c>
      <x:c r="B197" s="12" t="str">
        <x:v>SUNSHARK BOW</x:v>
      </x:c>
      <x:c r="C197" s="12" t="n">
        <x:v>3</x:v>
      </x:c>
      <x:c r="D197" s="12" t="str">
        <x:v>Noonshark Bow — Opening Strike
Noonshark Bow — Technique
Noonshark Bow — Payoff</x:v>
      </x:c>
      <x:c r="E197" s="12" t="str">
        <x:v>1 / attack
1 / skill
2 / attack</x:v>
      </x:c>
      <x:c r="F197" s="12" t="str">
        <x:v>949850486e68</x:v>
      </x:c>
      <x:c r="G197" s="12" t="n">
        <x:v>1</x:v>
      </x:c>
    </x:row>
    <x:row r="198" ht="39.599998474121094" hidden="0" customHeight="1">
      <x:c r="A198" s="12" t="str">
        <x:v>Noonspot Dart</x:v>
      </x:c>
      <x:c r="B198" s="12" t="str">
        <x:v>SUNSPOT DART</x:v>
      </x:c>
      <x:c r="C198" s="12" t="n">
        <x:v>3</x:v>
      </x:c>
      <x:c r="D198" s="12" t="str">
        <x:v>Noonspot Dart — Opening Strike
Noonspot Dart — Technique
Noonspot Dart — Payoff</x:v>
      </x:c>
      <x:c r="E198" s="12" t="str">
        <x:v>1 / attack
2 / skill
2 / attack</x:v>
      </x:c>
      <x:c r="F198" s="12" t="str">
        <x:v>e6bacc9911ad</x:v>
      </x:c>
      <x:c r="G198" s="12" t="n">
        <x:v>1</x:v>
      </x:c>
    </x:row>
    <x:row r="199" ht="26.399999618530273" hidden="0" customHeight="1">
      <x:c r="A199" s="12" t="str">
        <x:v>Noonspot Lantern</x:v>
      </x:c>
      <x:c r="B199" s="12" t="str">
        <x:v>SUNSPOT LANTERN</x:v>
      </x:c>
      <x:c r="C199" s="12" t="n">
        <x:v>2</x:v>
      </x:c>
      <x:c r="D199" s="12" t="str">
        <x:v>Noonspot Lantern — Use
Noonspot Lantern — Contingency</x:v>
      </x:c>
      <x:c r="E199" s="12" t="str">
        <x:v>0 / skill
1 / reaction</x:v>
      </x:c>
      <x:c r="F199" s="12" t="str">
        <x:v>7b3cf39896e5</x:v>
      </x:c>
      <x:c r="G199" s="12" t="n">
        <x:v>1</x:v>
      </x:c>
    </x:row>
    <x:row r="200" ht="26.399999618530273" hidden="0" customHeight="1">
      <x:c r="A200" s="12" t="str">
        <x:v>Nuclear Flute (Hunt Phase)</x:v>
      </x:c>
      <x:c r="B200" s="12" t="str">
        <x:v>NUCLEAR FLUTE (HUNT PHASE)</x:v>
      </x:c>
      <x:c r="C200" s="12" t="n">
        <x:v>2</x:v>
      </x:c>
      <x:c r="D200" s="12" t="str">
        <x:v>Nuclear Flute (Hunt Phase) — Hunt Call
Nuclear Flute (Hunt Phase) — Echo</x:v>
      </x:c>
      <x:c r="E200" s="12" t="str">
        <x:v>1 / support
0 / reaction</x:v>
      </x:c>
      <x:c r="F200" s="12" t="str">
        <x:v>25e17f915f8f</x:v>
      </x:c>
      <x:c r="G200" s="12" t="n">
        <x:v>1</x:v>
      </x:c>
    </x:row>
    <x:row r="201" ht="26.399999618530273" hidden="0" customHeight="1">
      <x:c r="A201" s="12" t="str">
        <x:v>Nuclear Flute (Showdown Phase)</x:v>
      </x:c>
      <x:c r="B201" s="12" t="str">
        <x:v>NUCLEAR FLUTE (SHOWDOWN PHASE)</x:v>
      </x:c>
      <x:c r="C201" s="12" t="n">
        <x:v>2</x:v>
      </x:c>
      <x:c r="D201" s="12" t="str">
        <x:v>Nuclear Flute (Showdown Phase) — War Call
Nuclear Flute (Showdown Phase) — Echo</x:v>
      </x:c>
      <x:c r="E201" s="12" t="str">
        <x:v>1 / support
1 / reaction</x:v>
      </x:c>
      <x:c r="F201" s="12" t="str">
        <x:v>820f07ce7f5a</x:v>
      </x:c>
      <x:c r="G201" s="12" t="n">
        <x:v>1</x:v>
      </x:c>
    </x:row>
    <x:row r="202" ht="39.599998474121094" hidden="0" customHeight="1">
      <x:c r="A202" s="12" t="str">
        <x:v>Nuclear Knife</x:v>
      </x:c>
      <x:c r="B202" s="12" t="str">
        <x:v>NUCLEAR KNIFE</x:v>
      </x:c>
      <x:c r="C202" s="12" t="n">
        <x:v>3</x:v>
      </x:c>
      <x:c r="D202" s="12" t="str">
        <x:v>Nuclear Knife — Opening Cut
Nuclear Knife — Technique
Nuclear Knife — Payoff</x:v>
      </x:c>
      <x:c r="E202" s="12" t="str">
        <x:v>0 / attack
1 / skill
2 / attack</x:v>
      </x:c>
      <x:c r="F202" s="12" t="str">
        <x:v>b576c0bab24e</x:v>
      </x:c>
      <x:c r="G202" s="12" t="n">
        <x:v>1</x:v>
      </x:c>
    </x:row>
    <x:row r="203" ht="39.599998474121094" hidden="0" customHeight="1">
      <x:c r="A203" s="12" t="str">
        <x:v>Nuclear Scythe</x:v>
      </x:c>
      <x:c r="B203" s="12" t="str">
        <x:v>NUCLEAR SCYTHE</x:v>
      </x:c>
      <x:c r="C203" s="12" t="n">
        <x:v>3</x:v>
      </x:c>
      <x:c r="D203" s="12" t="str">
        <x:v>Nuclear Scythe — Opening Strike
Nuclear Scythe — Technique
Nuclear Scythe — Payoff</x:v>
      </x:c>
      <x:c r="E203" s="12" t="str">
        <x:v>1 / attack
2 / skill
2 / attack</x:v>
      </x:c>
      <x:c r="F203" s="12" t="str">
        <x:v>f562db3331e9</x:v>
      </x:c>
      <x:c r="G203" s="12" t="n">
        <x:v>1</x:v>
      </x:c>
    </x:row>
    <x:row r="204" ht="26.399999618530273" hidden="0" customHeight="1">
      <x:c r="A204" s="12" t="str">
        <x:v>Oxidized Beacon Guard</x:v>
      </x:c>
      <x:c r="B204" s="12" t="str">
        <x:v>OXIDIZED BEACON SHIELD</x:v>
      </x:c>
      <x:c r="C204" s="12" t="n">
        <x:v>2</x:v>
      </x:c>
      <x:c r="D204" s="12" t="str">
        <x:v>Oxidized Beacon Guard — Shield Wall
Oxidized Beacon Guard — Answering Bash</x:v>
      </x:c>
      <x:c r="E204" s="12" t="str">
        <x:v>1 / skill
1 / reaction</x:v>
      </x:c>
      <x:c r="F204" s="12" t="str">
        <x:v>9ba3e209d6d4</x:v>
      </x:c>
      <x:c r="G204" s="12" t="n">
        <x:v>1</x:v>
      </x:c>
    </x:row>
    <x:row r="205" ht="39.599998474121094" hidden="0" customHeight="1">
      <x:c r="A205" s="12" t="str">
        <x:v>Oxidized Beast Katar</x:v>
      </x:c>
      <x:c r="B205" s="12" t="str">
        <x:v>OXIDIZED BEAST KATAR</x:v>
      </x:c>
      <x:c r="C205" s="12" t="n">
        <x:v>3</x:v>
      </x:c>
      <x:c r="D205" s="12" t="str">
        <x:v>Oxidized Beast Katar — Opening Cut
Oxidized Beast Katar — Technique
Oxidized Beast Katar — Payoff</x:v>
      </x:c>
      <x:c r="E205" s="12" t="str">
        <x:v>0 / attack
2 / skill
2 / attack</x:v>
      </x:c>
      <x:c r="F205" s="12" t="str">
        <x:v>a2a3133eb68a</x:v>
      </x:c>
      <x:c r="G205" s="12" t="n">
        <x:v>1</x:v>
      </x:c>
    </x:row>
    <x:row r="206" ht="39.599998474121094" hidden="0" customHeight="1">
      <x:c r="A206" s="12" t="str">
        <x:v>Oxidized Lantern Blade</x:v>
      </x:c>
      <x:c r="B206" s="12" t="str">
        <x:v>OXIDIZED LANTERN SWORD</x:v>
      </x:c>
      <x:c r="C206" s="12" t="n">
        <x:v>3</x:v>
      </x:c>
      <x:c r="D206" s="12" t="str">
        <x:v>Oxidized Lantern Blade — Opening Cut
Oxidized Lantern Blade — Technique
Oxidized Lantern Blade — Payoff</x:v>
      </x:c>
      <x:c r="E206" s="12" t="str">
        <x:v>1 / attack
2 / skill
2 / reaction</x:v>
      </x:c>
      <x:c r="F206" s="12" t="str">
        <x:v>310e750c24b2</x:v>
      </x:c>
      <x:c r="G206" s="12" t="n">
        <x:v>1</x:v>
      </x:c>
    </x:row>
    <x:row r="207" ht="26.399999618530273" hidden="0" customHeight="1">
      <x:c r="A207" s="12" t="str">
        <x:v>Oxidized Lantern Crown</x:v>
      </x:c>
      <x:c r="B207" s="12" t="str">
        <x:v>OXIDIZED LANTERN HELM</x:v>
      </x:c>
      <x:c r="C207" s="12" t="n">
        <x:v>2</x:v>
      </x:c>
      <x:c r="D207" s="12" t="str">
        <x:v>Oxidized Lantern Crown — Brace
Oxidized Lantern Crown — Fitted Plate</x:v>
      </x:c>
      <x:c r="E207" s="12" t="str">
        <x:v>1 / skill
1 / reaction</x:v>
      </x:c>
      <x:c r="F207" s="12" t="str">
        <x:v>72cbd2585426</x:v>
      </x:c>
      <x:c r="G207" s="12" t="n">
        <x:v>1</x:v>
      </x:c>
    </x:row>
    <x:row r="208" ht="39.599998474121094" hidden="0" customHeight="1">
      <x:c r="A208" s="12" t="str">
        <x:v>Oxidized Lantern Glaive</x:v>
      </x:c>
      <x:c r="B208" s="12" t="str">
        <x:v>OXIDIZED LANTERN GLAIVE</x:v>
      </x:c>
      <x:c r="C208" s="12" t="n">
        <x:v>3</x:v>
      </x:c>
      <x:c r="D208" s="12" t="str">
        <x:v>Oxidized Lantern Glaive — Opening Strike
Oxidized Lantern Glaive — Technique
Oxidized Lantern Glaive — Payoff</x:v>
      </x:c>
      <x:c r="E208" s="12" t="str">
        <x:v>1 / attack
2 / skill
2 / attack</x:v>
      </x:c>
      <x:c r="F208" s="12" t="str">
        <x:v>65a7805f788e</x:v>
      </x:c>
      <x:c r="G208" s="12" t="n">
        <x:v>1</x:v>
      </x:c>
    </x:row>
    <x:row r="209" ht="39.599998474121094" hidden="0" customHeight="1">
      <x:c r="A209" s="12" t="str">
        <x:v>Oxidized Lantern Knife</x:v>
      </x:c>
      <x:c r="B209" s="12" t="str">
        <x:v>OXIDIZED LANTERN DAGGER</x:v>
      </x:c>
      <x:c r="C209" s="12" t="n">
        <x:v>3</x:v>
      </x:c>
      <x:c r="D209" s="12" t="str">
        <x:v>Oxidized Lantern Knife — Opening Cut
Oxidized Lantern Knife — Technique
Oxidized Lantern Knife — Payoff</x:v>
      </x:c>
      <x:c r="E209" s="12" t="str">
        <x:v>0 / attack
1 / skill
2 / attack</x:v>
      </x:c>
      <x:c r="F209" s="12" t="str">
        <x:v>dc517a23069a</x:v>
      </x:c>
      <x:c r="G209" s="12" t="n">
        <x:v>1</x:v>
      </x:c>
    </x:row>
    <x:row r="210" ht="39.599998474121094" hidden="0" customHeight="1">
      <x:c r="A210" s="12" t="str">
        <x:v>Oxidized Ring Whip</x:v>
      </x:c>
      <x:c r="B210" s="12" t="str">
        <x:v>OXIDIZED RING WHIP</x:v>
      </x:c>
      <x:c r="C210" s="12" t="n">
        <x:v>3</x:v>
      </x:c>
      <x:c r="D210" s="12" t="str">
        <x:v>Oxidized Ring Whip — Opening Strike
Oxidized Ring Whip — Technique
Oxidized Ring Whip — Payoff</x:v>
      </x:c>
      <x:c r="E210" s="12" t="str">
        <x:v>1 / attack
1 / skill
2 / attack</x:v>
      </x:c>
      <x:c r="F210" s="12" t="str">
        <x:v>9c668d789006</x:v>
      </x:c>
      <x:c r="G210" s="12" t="n">
        <x:v>1</x:v>
      </x:c>
    </x:row>
    <x:row r="211" ht="26.399999618530273" hidden="0" customHeight="1">
      <x:c r="A211" s="12" t="str">
        <x:v>Pale Hunter Armor Set</x:v>
      </x:c>
      <x:c r="B211" s="12" t="str">
        <x:v>WHITE LION ARMOR SET</x:v>
      </x:c>
      <x:c r="C211" s="12" t="n">
        <x:v>2</x:v>
      </x:c>
      <x:c r="D211" s="12" t="str">
        <x:v>Pale Hunter Armor Set — Brace
Pale Hunter Armor Set — Setline</x:v>
      </x:c>
      <x:c r="E211" s="12" t="str">
        <x:v>1 / skill
1 / reaction</x:v>
      </x:c>
      <x:c r="F211" s="12" t="str">
        <x:v>c33f6e5777e3</x:v>
      </x:c>
      <x:c r="G211" s="12" t="n">
        <x:v>1</x:v>
      </x:c>
    </x:row>
    <x:row r="212" ht="26.399999618530273" hidden="0" customHeight="1">
      <x:c r="A212" s="12" t="str">
        <x:v>Pale Hunter Coat</x:v>
      </x:c>
      <x:c r="B212" s="12" t="str">
        <x:v>WHITE LION COAT</x:v>
      </x:c>
      <x:c r="C212" s="12" t="n">
        <x:v>2</x:v>
      </x:c>
      <x:c r="D212" s="12" t="str">
        <x:v>Pale Hunter Coat — Brace
Pale Hunter Coat — Fitted Plate</x:v>
      </x:c>
      <x:c r="E212" s="12" t="str">
        <x:v>1 / skill
1 / reaction</x:v>
      </x:c>
      <x:c r="F212" s="12" t="str">
        <x:v>d7171c2d6aa4</x:v>
      </x:c>
      <x:c r="G212" s="12" t="n">
        <x:v>1</x:v>
      </x:c>
    </x:row>
    <x:row r="213" ht="26.399999618530273" hidden="0" customHeight="1">
      <x:c r="A213" s="12" t="str">
        <x:v>Pale Hunter Crown</x:v>
      </x:c>
      <x:c r="B213" s="12" t="str">
        <x:v>WHITE LION HELM</x:v>
      </x:c>
      <x:c r="C213" s="12" t="n">
        <x:v>2</x:v>
      </x:c>
      <x:c r="D213" s="12" t="str">
        <x:v>Pale Hunter Crown — Brace
Pale Hunter Crown — Fitted Plate</x:v>
      </x:c>
      <x:c r="E213" s="12" t="str">
        <x:v>1 / skill
1 / reaction</x:v>
      </x:c>
      <x:c r="F213" s="12" t="str">
        <x:v>0d7672b4729e</x:v>
      </x:c>
      <x:c r="G213" s="12" t="n">
        <x:v>1</x:v>
      </x:c>
    </x:row>
    <x:row r="214" ht="26.399999618530273" hidden="0" customHeight="1">
      <x:c r="A214" s="12" t="str">
        <x:v>Pale Hunter Gloves</x:v>
      </x:c>
      <x:c r="B214" s="12" t="str">
        <x:v>WHITE LION GAUNTLETS</x:v>
      </x:c>
      <x:c r="C214" s="12" t="n">
        <x:v>2</x:v>
      </x:c>
      <x:c r="D214" s="12" t="str">
        <x:v>Pale Hunter Gloves — Brace
Pale Hunter Gloves — Fitted Plate</x:v>
      </x:c>
      <x:c r="E214" s="12" t="str">
        <x:v>1 / skill
2 / reaction</x:v>
      </x:c>
      <x:c r="F214" s="12" t="str">
        <x:v>0f1eb2d33813</x:v>
      </x:c>
      <x:c r="G214" s="12" t="n">
        <x:v>1</x:v>
      </x:c>
    </x:row>
    <x:row r="215" ht="26.399999618530273" hidden="0" customHeight="1">
      <x:c r="A215" s="12" t="str">
        <x:v>Pale Hunter Skirt</x:v>
      </x:c>
      <x:c r="B215" s="12" t="str">
        <x:v>WHITE LION SKIRT</x:v>
      </x:c>
      <x:c r="C215" s="12" t="n">
        <x:v>2</x:v>
      </x:c>
      <x:c r="D215" s="12" t="str">
        <x:v>Pale Hunter Skirt — Brace
Pale Hunter Skirt — Fitted Plate</x:v>
      </x:c>
      <x:c r="E215" s="12" t="str">
        <x:v>1 / skill
1 / reaction</x:v>
      </x:c>
      <x:c r="F215" s="12" t="str">
        <x:v>4f995b00ec05</x:v>
      </x:c>
      <x:c r="G215" s="12" t="n">
        <x:v>1</x:v>
      </x:c>
    </x:row>
    <x:row r="216" ht="26.399999618530273" hidden="0" customHeight="1">
      <x:c r="A216" s="12" t="str">
        <x:v>Pale Hunter Treads</x:v>
      </x:c>
      <x:c r="B216" s="12" t="str">
        <x:v>WHITE LION BOOTS</x:v>
      </x:c>
      <x:c r="C216" s="12" t="n">
        <x:v>2</x:v>
      </x:c>
      <x:c r="D216" s="12" t="str">
        <x:v>Pale Hunter Treads — Brace
Pale Hunter Treads — Fitted Plate</x:v>
      </x:c>
      <x:c r="E216" s="12" t="str">
        <x:v>1 / skill
2 / reaction</x:v>
      </x:c>
      <x:c r="F216" s="12" t="str">
        <x:v>82ef2f766092</x:v>
      </x:c>
      <x:c r="G216" s="12" t="n">
        <x:v>1</x:v>
      </x:c>
    </x:row>
    <x:row r="217" ht="26.399999618530273" hidden="0" customHeight="1">
      <x:c r="A217" s="12" t="str">
        <x:v>Pale Hunter Visage</x:v>
      </x:c>
      <x:c r="B217" s="12" t="str">
        <x:v>WHITE LION MASK</x:v>
      </x:c>
      <x:c r="C217" s="12" t="n">
        <x:v>2</x:v>
      </x:c>
      <x:c r="D217" s="12" t="str">
        <x:v>Pale Hunter Visage — Omen
Pale Hunter Visage — Glimmer</x:v>
      </x:c>
      <x:c r="E217" s="12" t="str">
        <x:v>0 / skill
0 / reaction</x:v>
      </x:c>
      <x:c r="F217" s="12" t="str">
        <x:v>7cf0ac79a3c4</x:v>
      </x:c>
      <x:c r="G217" s="12" t="n">
        <x:v>1</x:v>
      </x:c>
    </x:row>
    <x:row r="218" ht="39.599998474121094" hidden="0" customHeight="1">
      <x:c r="A218" s="12" t="str">
        <x:v>Penumbra Bow</x:v>
      </x:c>
      <x:c r="B218" s="12" t="str">
        <x:v>PENUMBRA BOW</x:v>
      </x:c>
      <x:c r="C218" s="12" t="n">
        <x:v>3</x:v>
      </x:c>
      <x:c r="D218" s="12" t="str">
        <x:v>Penumbra Bow — Opening Strike
Penumbra Bow — Technique
Penumbra Bow — Payoff</x:v>
      </x:c>
      <x:c r="E218" s="12" t="str">
        <x:v>1 / attack
2 / skill
2 / attack</x:v>
      </x:c>
      <x:c r="F218" s="12" t="str">
        <x:v>63c4aa35e017</x:v>
      </x:c>
      <x:c r="G218" s="12" t="n">
        <x:v>1</x:v>
      </x:c>
    </x:row>
    <x:row r="219" ht="39.599998474121094" hidden="0" customHeight="1">
      <x:c r="A219" s="12" t="str">
        <x:v>Perfect Slayer</x:v>
      </x:c>
      <x:c r="B219" s="12" t="str">
        <x:v>PERFECT SLAYER</x:v>
      </x:c>
      <x:c r="C219" s="12" t="n">
        <x:v>3</x:v>
      </x:c>
      <x:c r="D219" s="12" t="str">
        <x:v>Perfect Slayer — Opening Strike
Perfect Slayer — Technique
Perfect Slayer — Payoff</x:v>
      </x:c>
      <x:c r="E219" s="12" t="str">
        <x:v>2 / attack
2 / skill
3 / attack</x:v>
      </x:c>
      <x:c r="F219" s="12" t="str">
        <x:v>3aa130818bf2</x:v>
      </x:c>
      <x:c r="G219" s="12" t="n">
        <x:v>1</x:v>
      </x:c>
    </x:row>
    <x:row r="220" ht="39.599998474121094" hidden="0" customHeight="1">
      <x:c r="A220" s="12" t="str">
        <x:v>Phase Axe</x:v>
      </x:c>
      <x:c r="B220" s="12" t="str">
        <x:v>PHASE AXE</x:v>
      </x:c>
      <x:c r="C220" s="12" t="n">
        <x:v>3</x:v>
      </x:c>
      <x:c r="D220" s="12" t="str">
        <x:v>Phase Axe — Opening Strike
Phase Axe — Technique
Phase Axe — Payoff</x:v>
      </x:c>
      <x:c r="E220" s="12" t="str">
        <x:v>1 / attack
2 / skill
3 / attack</x:v>
      </x:c>
      <x:c r="F220" s="12" t="str">
        <x:v>763b8b5e0182</x:v>
      </x:c>
      <x:c r="G220" s="12" t="n">
        <x:v>1</x:v>
      </x:c>
    </x:row>
    <x:row r="221" ht="26.399999618530273" hidden="0" customHeight="1">
      <x:c r="A221" s="12" t="str">
        <x:v>Phoenix Armor Set</x:v>
      </x:c>
      <x:c r="B221" s="12" t="str">
        <x:v>PHOENIX ARMOR SET</x:v>
      </x:c>
      <x:c r="C221" s="12" t="n">
        <x:v>2</x:v>
      </x:c>
      <x:c r="D221" s="12" t="str">
        <x:v>Phoenix Armor Set — Brace
Phoenix Armor Set — Setline</x:v>
      </x:c>
      <x:c r="E221" s="12" t="str">
        <x:v>1 / skill
1 / reaction</x:v>
      </x:c>
      <x:c r="F221" s="12" t="str">
        <x:v>f38ed12d6aae</x:v>
      </x:c>
      <x:c r="G221" s="12" t="n">
        <x:v>1</x:v>
      </x:c>
    </x:row>
    <x:row r="222" ht="26.399999618530273" hidden="0" customHeight="1">
      <x:c r="A222" s="12" t="str">
        <x:v>Phoenix Armor Set (Variant)</x:v>
      </x:c>
      <x:c r="B222" s="12" t="str">
        <x:v>PHOENIX ARMOR SET (VARIANT)</x:v>
      </x:c>
      <x:c r="C222" s="12" t="n">
        <x:v>2</x:v>
      </x:c>
      <x:c r="D222" s="12" t="str">
        <x:v>Phoenix Armor Set (Variant) — Brace
Phoenix Armor Set (Variant) — Setline</x:v>
      </x:c>
      <x:c r="E222" s="12" t="str">
        <x:v>1 / skill
2 / reaction</x:v>
      </x:c>
      <x:c r="F222" s="12" t="str">
        <x:v>ee2feec9957c</x:v>
      </x:c>
      <x:c r="G222" s="12" t="n">
        <x:v>1</x:v>
      </x:c>
    </x:row>
    <x:row r="223" ht="26.399999618530273" hidden="0" customHeight="1">
      <x:c r="A223" s="12" t="str">
        <x:v>Phoenix Crown</x:v>
      </x:c>
      <x:c r="B223" s="12" t="str">
        <x:v>PHOENIX HELM</x:v>
      </x:c>
      <x:c r="C223" s="12" t="n">
        <x:v>2</x:v>
      </x:c>
      <x:c r="D223" s="12" t="str">
        <x:v>Phoenix Crown — Brace
Phoenix Crown — Fitted Plate</x:v>
      </x:c>
      <x:c r="E223" s="12" t="str">
        <x:v>1 / skill
1 / reaction</x:v>
      </x:c>
      <x:c r="F223" s="12" t="str">
        <x:v>394facb461ad</x:v>
      </x:c>
      <x:c r="G223" s="12" t="n">
        <x:v>1</x:v>
      </x:c>
    </x:row>
    <x:row r="224" ht="26.399999618530273" hidden="0" customHeight="1">
      <x:c r="A224" s="12" t="str">
        <x:v>Phoenix Faulds</x:v>
      </x:c>
      <x:c r="B224" s="12" t="str">
        <x:v>PHOENIX FAULDS</x:v>
      </x:c>
      <x:c r="C224" s="12" t="n">
        <x:v>2</x:v>
      </x:c>
      <x:c r="D224" s="12" t="str">
        <x:v>Phoenix Faulds — Brace
Phoenix Faulds — Fitted Plate</x:v>
      </x:c>
      <x:c r="E224" s="12" t="str">
        <x:v>1 / skill
1 / reaction</x:v>
      </x:c>
      <x:c r="F224" s="12" t="str">
        <x:v>053aa51649a2</x:v>
      </x:c>
      <x:c r="G224" s="12" t="n">
        <x:v>1</x:v>
      </x:c>
    </x:row>
    <x:row r="225" ht="26.399999618530273" hidden="0" customHeight="1">
      <x:c r="A225" s="12" t="str">
        <x:v>Phoenix Gauntlet</x:v>
      </x:c>
      <x:c r="B225" s="12" t="str">
        <x:v>PHOENIX GAUNTLET</x:v>
      </x:c>
      <x:c r="C225" s="12" t="n">
        <x:v>2</x:v>
      </x:c>
      <x:c r="D225" s="12" t="str">
        <x:v>Phoenix Gauntlet — Brace
Phoenix Gauntlet — Fitted Plate</x:v>
      </x:c>
      <x:c r="E225" s="12" t="str">
        <x:v>1 / skill
2 / reaction</x:v>
      </x:c>
      <x:c r="F225" s="12" t="str">
        <x:v>d35b573dcf8a</x:v>
      </x:c>
      <x:c r="G225" s="12" t="n">
        <x:v>1</x:v>
      </x:c>
    </x:row>
    <x:row r="226" ht="26.399999618530273" hidden="0" customHeight="1">
      <x:c r="A226" s="12" t="str">
        <x:v>Phoenix Gloves</x:v>
      </x:c>
      <x:c r="B226" s="12" t="str">
        <x:v>PHOENIX GAUNTLETS</x:v>
      </x:c>
      <x:c r="C226" s="12" t="n">
        <x:v>2</x:v>
      </x:c>
      <x:c r="D226" s="12" t="str">
        <x:v>Phoenix Gloves — Brace
Phoenix Gloves — Fitted Plate</x:v>
      </x:c>
      <x:c r="E226" s="12" t="str">
        <x:v>1 / skill
1 / reaction</x:v>
      </x:c>
      <x:c r="F226" s="12" t="str">
        <x:v>bb25a3ff14d5</x:v>
      </x:c>
      <x:c r="G226" s="12" t="n">
        <x:v>1</x:v>
      </x:c>
    </x:row>
    <x:row r="227" ht="26.399999618530273" hidden="0" customHeight="1">
      <x:c r="A227" s="12" t="str">
        <x:v>Phoenix Greaves</x:v>
      </x:c>
      <x:c r="B227" s="12" t="str">
        <x:v>PHOENIX GREAVES</x:v>
      </x:c>
      <x:c r="C227" s="12" t="n">
        <x:v>2</x:v>
      </x:c>
      <x:c r="D227" s="12" t="str">
        <x:v>Phoenix Greaves — Brace
Phoenix Greaves — Fitted Plate</x:v>
      </x:c>
      <x:c r="E227" s="12" t="str">
        <x:v>1 / skill
2 / reaction</x:v>
      </x:c>
      <x:c r="F227" s="12" t="str">
        <x:v>ca1150aa2a0e</x:v>
      </x:c>
      <x:c r="G227" s="12" t="n">
        <x:v>1</x:v>
      </x:c>
    </x:row>
    <x:row r="228" ht="26.399999618530273" hidden="0" customHeight="1">
      <x:c r="A228" s="12" t="str">
        <x:v>Phoenix Plackart</x:v>
      </x:c>
      <x:c r="B228" s="12" t="str">
        <x:v>PHOENIX PLACKART</x:v>
      </x:c>
      <x:c r="C228" s="12" t="n">
        <x:v>2</x:v>
      </x:c>
      <x:c r="D228" s="12" t="str">
        <x:v>Phoenix Plackart — Brace
Phoenix Plackart — Fitted Plate</x:v>
      </x:c>
      <x:c r="E228" s="12" t="str">
        <x:v>1 / skill
1 / reaction</x:v>
      </x:c>
      <x:c r="F228" s="12" t="str">
        <x:v>7ef6cac898b9</x:v>
      </x:c>
      <x:c r="G228" s="12" t="n">
        <x:v>1</x:v>
      </x:c>
    </x:row>
    <x:row r="229" ht="26.399999618530273" hidden="0" customHeight="1">
      <x:c r="A229" s="12" t="str">
        <x:v>Phoenix Visage</x:v>
      </x:c>
      <x:c r="B229" s="12" t="str">
        <x:v>PHOENIX MASK</x:v>
      </x:c>
      <x:c r="C229" s="12" t="n">
        <x:v>2</x:v>
      </x:c>
      <x:c r="D229" s="12" t="str">
        <x:v>Phoenix Visage — Omen
Phoenix Visage — Glimmer</x:v>
      </x:c>
      <x:c r="E229" s="12" t="str">
        <x:v>0 / skill
0 / reaction</x:v>
      </x:c>
      <x:c r="F229" s="12" t="str">
        <x:v>41f4cb5663a9</x:v>
      </x:c>
      <x:c r="G229" s="12" t="n">
        <x:v>1</x:v>
      </x:c>
    </x:row>
    <x:row r="230" ht="26.399999618530273" hidden="0" customHeight="1">
      <x:c r="A230" s="12" t="str">
        <x:v>Pulse Lantern</x:v>
      </x:c>
      <x:c r="B230" s="12" t="str">
        <x:v>PULSE LANTERN</x:v>
      </x:c>
      <x:c r="C230" s="12" t="n">
        <x:v>2</x:v>
      </x:c>
      <x:c r="D230" s="12" t="str">
        <x:v>Pulse Lantern — Use
Pulse Lantern — Contingency</x:v>
      </x:c>
      <x:c r="E230" s="12" t="str">
        <x:v>0 / skill
1 / reaction</x:v>
      </x:c>
      <x:c r="F230" s="12" t="str">
        <x:v>caef42142828</x:v>
      </x:c>
      <x:c r="G230" s="12" t="n">
        <x:v>1</x:v>
      </x:c>
    </x:row>
    <x:row r="231" ht="26.399999618530273" hidden="0" customHeight="1">
      <x:c r="A231" s="12" t="str">
        <x:v>Quiver &amp; Noon String</x:v>
      </x:c>
      <x:c r="B231" s="12" t="str">
        <x:v>QUIVER &amp; SUN STRING</x:v>
      </x:c>
      <x:c r="C231" s="12" t="n">
        <x:v>2</x:v>
      </x:c>
      <x:c r="D231" s="12" t="str">
        <x:v>Quiver &amp; Noon String — Omen
Quiver &amp; Noon String — Glimmer</x:v>
      </x:c>
      <x:c r="E231" s="12" t="str">
        <x:v>0 / skill
0 / reaction</x:v>
      </x:c>
      <x:c r="F231" s="12" t="str">
        <x:v>e947bfe57c16</x:v>
      </x:c>
      <x:c r="G231" s="12" t="n">
        <x:v>1</x:v>
      </x:c>
    </x:row>
    <x:row r="232" ht="39.599998474121094" hidden="0" customHeight="1">
      <x:c r="A232" s="12" t="str">
        <x:v>Rainbow Katana</x:v>
      </x:c>
      <x:c r="B232" s="12" t="str">
        <x:v>RAINBOW KATANA</x:v>
      </x:c>
      <x:c r="C232" s="12" t="n">
        <x:v>3</x:v>
      </x:c>
      <x:c r="D232" s="12" t="str">
        <x:v>Rainbow Katana — Opening Strike
Rainbow Katana — Technique
Rainbow Katana — Payoff</x:v>
      </x:c>
      <x:c r="E232" s="12" t="str">
        <x:v>1 / attack
2 / skill
2 / attack</x:v>
      </x:c>
      <x:c r="F232" s="12" t="str">
        <x:v>12cc49d40b63</x:v>
      </x:c>
      <x:c r="G232" s="12" t="n">
        <x:v>1</x:v>
      </x:c>
    </x:row>
    <x:row r="233" ht="39.599998474121094" hidden="0" customHeight="1">
      <x:c r="A233" s="12" t="str">
        <x:v>Rainbow Katana (Broken)</x:v>
      </x:c>
      <x:c r="B233" s="12" t="str">
        <x:v>RAINBOW KATANA (BROKEN)</x:v>
      </x:c>
      <x:c r="C233" s="12" t="n">
        <x:v>3</x:v>
      </x:c>
      <x:c r="D233" s="12" t="str">
        <x:v>Rainbow Katana (Broken) — Opening Strike
Rainbow Katana (Broken) — Technique
Rainbow Katana (Broken) — Payoff</x:v>
      </x:c>
      <x:c r="E233" s="12" t="str">
        <x:v>2 / attack
1 / skill
3 / attack</x:v>
      </x:c>
      <x:c r="F233" s="12" t="str">
        <x:v>e148ed9ac9e0</x:v>
      </x:c>
      <x:c r="G233" s="12" t="n">
        <x:v>1</x:v>
      </x:c>
    </x:row>
    <x:row r="234" ht="39.599998474121094" hidden="0" customHeight="1">
      <x:c r="A234" s="12" t="str">
        <x:v>Rainbow Wing Belt</x:v>
      </x:c>
      <x:c r="B234" s="12" t="str">
        <x:v>RAINBOW WING BELT</x:v>
      </x:c>
      <x:c r="C234" s="12" t="n">
        <x:v>3</x:v>
      </x:c>
      <x:c r="D234" s="12" t="str">
        <x:v>Rainbow Wing Belt — Opening Strike
Rainbow Wing Belt — Technique
Rainbow Wing Belt — Payoff</x:v>
      </x:c>
      <x:c r="E234" s="12" t="str">
        <x:v>1 / attack
2 / skill
2 / attack</x:v>
      </x:c>
      <x:c r="F234" s="12" t="str">
        <x:v>6979cef7a135</x:v>
      </x:c>
      <x:c r="G234" s="12" t="n">
        <x:v>1</x:v>
      </x:c>
    </x:row>
    <x:row r="235" ht="26.399999618530273" hidden="0" customHeight="1">
      <x:c r="A235" s="12" t="str">
        <x:v>Raptor-Worm Collar</x:v>
      </x:c>
      <x:c r="B235" s="12" t="str">
        <x:v>RAPTOR-WORM COLLAR</x:v>
      </x:c>
      <x:c r="C235" s="12" t="n">
        <x:v>2</x:v>
      </x:c>
      <x:c r="D235" s="12" t="str">
        <x:v>Raptor-Worm Collar — Use
Raptor-Worm Collar — Contingency</x:v>
      </x:c>
      <x:c r="E235" s="12" t="str">
        <x:v>1 / skill
1 / reaction</x:v>
      </x:c>
      <x:c r="F235" s="12" t="str">
        <x:v>9260592a32dc</x:v>
      </x:c>
      <x:c r="G235" s="12" t="n">
        <x:v>1</x:v>
      </x:c>
    </x:row>
    <x:row r="236" ht="26.399999618530273" hidden="0" customHeight="1">
      <x:c r="A236" s="12" t="str">
        <x:v>Red Charm</x:v>
      </x:c>
      <x:c r="B236" s="12" t="str">
        <x:v>RED CHARM</x:v>
      </x:c>
      <x:c r="C236" s="12" t="n">
        <x:v>2</x:v>
      </x:c>
      <x:c r="D236" s="12" t="str">
        <x:v>Red Charm — Omen
Red Charm — Glimmer</x:v>
      </x:c>
      <x:c r="E236" s="12" t="str">
        <x:v>0 / skill
0 / reaction</x:v>
      </x:c>
      <x:c r="F236" s="12" t="str">
        <x:v>e5b7443545ad</x:v>
      </x:c>
      <x:c r="G236" s="12" t="n">
        <x:v>1</x:v>
      </x:c>
    </x:row>
    <x:row r="237" ht="26.399999618530273" hidden="0" customHeight="1">
      <x:c r="A237" s="12" t="str">
        <x:v>Red Power Core</x:v>
      </x:c>
      <x:c r="B237" s="12" t="str">
        <x:v>RED POWER CORE</x:v>
      </x:c>
      <x:c r="C237" s="12" t="n">
        <x:v>2</x:v>
      </x:c>
      <x:c r="D237" s="12" t="str">
        <x:v>Red Power Core — Omen
Red Power Core — Glimmer</x:v>
      </x:c>
      <x:c r="E237" s="12" t="str">
        <x:v>0 / skill
0 / reaction</x:v>
      </x:c>
      <x:c r="F237" s="12" t="str">
        <x:v>6952d34aeff1</x:v>
      </x:c>
      <x:c r="G237" s="12" t="n">
        <x:v>1</x:v>
      </x:c>
    </x:row>
    <x:row r="238" ht="26.399999618530273" hidden="0" customHeight="1">
      <x:c r="A238" s="12" t="str">
        <x:v>Red Ring</x:v>
      </x:c>
      <x:c r="B238" s="12" t="str">
        <x:v>RED RING</x:v>
      </x:c>
      <x:c r="C238" s="12" t="n">
        <x:v>2</x:v>
      </x:c>
      <x:c r="D238" s="12" t="str">
        <x:v>Red Ring — Omen
Red Ring — Glimmer</x:v>
      </x:c>
      <x:c r="E238" s="12" t="str">
        <x:v>0 / skill
0 / reaction</x:v>
      </x:c>
      <x:c r="F238" s="12" t="str">
        <x:v>9f48fec371bd</x:v>
      </x:c>
      <x:c r="G238" s="12" t="n">
        <x:v>1</x:v>
      </x:c>
    </x:row>
    <x:row r="239" ht="26.399999618530273" hidden="0" customHeight="1">
      <x:c r="A239" s="12" t="str">
        <x:v>Regeneration Suit</x:v>
      </x:c>
      <x:c r="B239" s="12" t="str">
        <x:v>REGENERATION SUIT</x:v>
      </x:c>
      <x:c r="C239" s="12" t="n">
        <x:v>2</x:v>
      </x:c>
      <x:c r="D239" s="12" t="str">
        <x:v>Regeneration Suit — Brace
Regeneration Suit — Fitted Plate</x:v>
      </x:c>
      <x:c r="E239" s="12" t="str">
        <x:v>1 / skill
1 / reaction</x:v>
      </x:c>
      <x:c r="F239" s="12" t="str">
        <x:v>e02e64eaa3df</x:v>
      </x:c>
      <x:c r="G239" s="12" t="n">
        <x:v>1</x:v>
      </x:c>
    </x:row>
    <x:row r="240" ht="39.599998474121094" hidden="0" customHeight="1">
      <x:c r="A240" s="12" t="str">
        <x:v>Rib Blade</x:v>
      </x:c>
      <x:c r="B240" s="12" t="str">
        <x:v>RIB BLADE</x:v>
      </x:c>
      <x:c r="C240" s="12" t="n">
        <x:v>3</x:v>
      </x:c>
      <x:c r="D240" s="12" t="str">
        <x:v>Rib Blade — Opening Cut
Rib Blade — Technique
Rib Blade — Payoff</x:v>
      </x:c>
      <x:c r="E240" s="12" t="str">
        <x:v>1 / attack
2 / skill
2 / reaction</x:v>
      </x:c>
      <x:c r="F240" s="12" t="str">
        <x:v>22bb7068a81d</x:v>
      </x:c>
      <x:c r="G240" s="12" t="n">
        <x:v>1</x:v>
      </x:c>
    </x:row>
    <x:row r="241" ht="39.599998474121094" hidden="0" customHeight="1">
      <x:c r="A241" s="12" t="str">
        <x:v>Ring Whip</x:v>
      </x:c>
      <x:c r="B241" s="12" t="str">
        <x:v>RING WHIP</x:v>
      </x:c>
      <x:c r="C241" s="12" t="n">
        <x:v>3</x:v>
      </x:c>
      <x:c r="D241" s="12" t="str">
        <x:v>Ring Whip — Opening Strike
Ring Whip — Technique
Ring Whip — Payoff</x:v>
      </x:c>
      <x:c r="E241" s="12" t="str">
        <x:v>1 / attack
1 / skill
2 / attack</x:v>
      </x:c>
      <x:c r="F241" s="12" t="str">
        <x:v>25998adda76d</x:v>
      </x:c>
      <x:c r="G241" s="12" t="n">
        <x:v>1</x:v>
      </x:c>
    </x:row>
    <x:row r="242" ht="39.599998474121094" hidden="0" customHeight="1">
      <x:c r="A242" s="12" t="str">
        <x:v>Riot Mace</x:v>
      </x:c>
      <x:c r="B242" s="12" t="str">
        <x:v>RIOT MACE</x:v>
      </x:c>
      <x:c r="C242" s="12" t="n">
        <x:v>3</x:v>
      </x:c>
      <x:c r="D242" s="12" t="str">
        <x:v>Riot Mace — Opening Strike
Riot Mace — Technique
Riot Mace — Payoff</x:v>
      </x:c>
      <x:c r="E242" s="12" t="str">
        <x:v>1 / attack
2 / skill
2 / attack</x:v>
      </x:c>
      <x:c r="F242" s="12" t="str">
        <x:v>39a751e430cb</x:v>
      </x:c>
      <x:c r="G242" s="12" t="n">
        <x:v>1</x:v>
      </x:c>
    </x:row>
    <x:row r="243" ht="26.399999618530273" hidden="0" customHeight="1">
      <x:c r="A243" s="12" t="str">
        <x:v>Rolling Armor Set</x:v>
      </x:c>
      <x:c r="B243" s="12" t="str">
        <x:v>ROLLING ARMOR SET</x:v>
      </x:c>
      <x:c r="C243" s="12" t="n">
        <x:v>2</x:v>
      </x:c>
      <x:c r="D243" s="12" t="str">
        <x:v>Rolling Armor Set — Brace
Rolling Armor Set — Setline</x:v>
      </x:c>
      <x:c r="E243" s="12" t="str">
        <x:v>1 / skill
1 / reaction</x:v>
      </x:c>
      <x:c r="F243" s="12" t="str">
        <x:v>1f138f88b731</x:v>
      </x:c>
      <x:c r="G243" s="12" t="n">
        <x:v>1</x:v>
      </x:c>
    </x:row>
    <x:row r="244" ht="26.399999618530273" hidden="0" customHeight="1">
      <x:c r="A244" s="12" t="str">
        <x:v>Rose Knight Badge</x:v>
      </x:c>
      <x:c r="B244" s="12" t="str">
        <x:v>ROSE KNIGHT BADGE</x:v>
      </x:c>
      <x:c r="C244" s="12" t="n">
        <x:v>2</x:v>
      </x:c>
      <x:c r="D244" s="12" t="str">
        <x:v>Rose Knight Badge — Omen
Rose Knight Badge — Glimmer</x:v>
      </x:c>
      <x:c r="E244" s="12" t="str">
        <x:v>0 / skill
0 / reaction</x:v>
      </x:c>
      <x:c r="F244" s="12" t="str">
        <x:v>a80be0bb7963</x:v>
      </x:c>
      <x:c r="G244" s="12" t="n">
        <x:v>1</x:v>
      </x:c>
    </x:row>
    <x:row r="245" ht="26.399999618530273" hidden="0" customHeight="1">
      <x:c r="A245" s="12" t="str">
        <x:v>Round Hide Guard</x:v>
      </x:c>
      <x:c r="B245" s="12" t="str">
        <x:v>ROUND LEATHER SHIELD</x:v>
      </x:c>
      <x:c r="C245" s="12" t="n">
        <x:v>2</x:v>
      </x:c>
      <x:c r="D245" s="12" t="str">
        <x:v>Round Hide Guard — Shield Wall
Round Hide Guard — Answering Bash</x:v>
      </x:c>
      <x:c r="E245" s="12" t="str">
        <x:v>1 / skill
1 / reaction</x:v>
      </x:c>
      <x:c r="F245" s="12" t="str">
        <x:v>02e38b856f09</x:v>
      </x:c>
      <x:c r="G245" s="12" t="n">
        <x:v>1</x:v>
      </x:c>
    </x:row>
    <x:row r="246" ht="26.399999618530273" hidden="0" customHeight="1">
      <x:c r="A246" s="12" t="str">
        <x:v>Rubber Bone Harness</x:v>
      </x:c>
      <x:c r="B246" s="12" t="str">
        <x:v>RUBBER BONE HARNESS</x:v>
      </x:c>
      <x:c r="C246" s="12" t="n">
        <x:v>2</x:v>
      </x:c>
      <x:c r="D246" s="12" t="str">
        <x:v>Rubber Bone Harness — Brace
Rubber Bone Harness — Fitted Plate</x:v>
      </x:c>
      <x:c r="E246" s="12" t="str">
        <x:v>1 / skill
2 / reaction</x:v>
      </x:c>
      <x:c r="F246" s="12" t="str">
        <x:v>49a8e395c9f6</x:v>
      </x:c>
      <x:c r="G246" s="12" t="n">
        <x:v>1</x:v>
      </x:c>
    </x:row>
    <x:row r="247" ht="26.399999618530273" hidden="0" customHeight="1">
      <x:c r="A247" s="12" t="str">
        <x:v>Sanguine Cello</x:v>
      </x:c>
      <x:c r="B247" s="12" t="str">
        <x:v>SANGUINE CELLO</x:v>
      </x:c>
      <x:c r="C247" s="12" t="n">
        <x:v>2</x:v>
      </x:c>
      <x:c r="D247" s="12" t="str">
        <x:v>Sanguine Cello — Resonance
Sanguine Cello — Echo</x:v>
      </x:c>
      <x:c r="E247" s="12" t="str">
        <x:v>1 / support
1 / reaction</x:v>
      </x:c>
      <x:c r="F247" s="12" t="str">
        <x:v>cb5f9251521d</x:v>
      </x:c>
      <x:c r="G247" s="12" t="n">
        <x:v>1</x:v>
      </x:c>
    </x:row>
    <x:row r="248" ht="26.399999618530273" hidden="0" customHeight="1">
      <x:c r="A248" s="12" t="str">
        <x:v>Sanguine Épee</x:v>
      </x:c>
      <x:c r="B248" s="12" t="str">
        <x:v>SANGUINE ÉPEE</x:v>
      </x:c>
      <x:c r="C248" s="12" t="n">
        <x:v>2</x:v>
      </x:c>
      <x:c r="D248" s="12" t="str">
        <x:v>Sanguine Épee — Use
Sanguine Épee — Contingency</x:v>
      </x:c>
      <x:c r="E248" s="12" t="str">
        <x:v>1 / skill
1 / reaction</x:v>
      </x:c>
      <x:c r="F248" s="12" t="str">
        <x:v>93ec00d08302</x:v>
      </x:c>
      <x:c r="G248" s="12" t="n">
        <x:v>1</x:v>
      </x:c>
    </x:row>
    <x:row r="249" ht="26.399999618530273" hidden="0" customHeight="1">
      <x:c r="A249" s="12" t="str">
        <x:v>Satchel</x:v>
      </x:c>
      <x:c r="B249" s="12" t="str">
        <x:v>SATCHEL</x:v>
      </x:c>
      <x:c r="C249" s="12" t="n">
        <x:v>2</x:v>
      </x:c>
      <x:c r="D249" s="12" t="str">
        <x:v>Satchel — Use
Satchel — Contingency</x:v>
      </x:c>
      <x:c r="E249" s="12" t="str">
        <x:v>1 / skill
1 / reaction</x:v>
      </x:c>
      <x:c r="F249" s="12" t="str">
        <x:v>8ed8ff80bb6c</x:v>
      </x:c>
      <x:c r="G249" s="12" t="n">
        <x:v>1</x:v>
      </x:c>
    </x:row>
    <x:row r="250" ht="26.399999618530273" hidden="0" customHeight="1">
      <x:c r="A250" s="12" t="str">
        <x:v>Scarab Circlet</x:v>
      </x:c>
      <x:c r="B250" s="12" t="str">
        <x:v>SCARAB CIRCLET</x:v>
      </x:c>
      <x:c r="C250" s="12" t="n">
        <x:v>2</x:v>
      </x:c>
      <x:c r="D250" s="12" t="str">
        <x:v>Scarab Circlet — Omen
Scarab Circlet — Glimmer</x:v>
      </x:c>
      <x:c r="E250" s="12" t="str">
        <x:v>0 / skill
0 / reaction</x:v>
      </x:c>
      <x:c r="F250" s="12" t="str">
        <x:v>17df90e16639</x:v>
      </x:c>
      <x:c r="G250" s="12" t="n">
        <x:v>1</x:v>
      </x:c>
    </x:row>
    <x:row r="251" ht="26.399999618530273" hidden="0" customHeight="1">
      <x:c r="A251" s="12" t="str">
        <x:v>Scavenger Kit</x:v>
      </x:c>
      <x:c r="B251" s="12" t="str">
        <x:v>SCAVENGER KIT</x:v>
      </x:c>
      <x:c r="C251" s="12" t="n">
        <x:v>2</x:v>
      </x:c>
      <x:c r="D251" s="12" t="str">
        <x:v>Scavenger Kit — Resonance
Scavenger Kit — Echo</x:v>
      </x:c>
      <x:c r="E251" s="12" t="str">
        <x:v>1 / support
1 / reaction</x:v>
      </x:c>
      <x:c r="F251" s="12" t="str">
        <x:v>b1763a05eded</x:v>
      </x:c>
      <x:c r="G251" s="12" t="n">
        <x:v>1</x:v>
      </x:c>
    </x:row>
    <x:row r="252" ht="39.599998474121094" hidden="0" customHeight="1">
      <x:c r="A252" s="12" t="str">
        <x:v>Scoopy Club</x:v>
      </x:c>
      <x:c r="B252" s="12" t="str">
        <x:v>SCOOPY CLUB</x:v>
      </x:c>
      <x:c r="C252" s="12" t="n">
        <x:v>3</x:v>
      </x:c>
      <x:c r="D252" s="12" t="str">
        <x:v>Scoopy Club — Opening Strike
Scoopy Club — Technique
Scoopy Club — Payoff</x:v>
      </x:c>
      <x:c r="E252" s="12" t="str">
        <x:v>1 / attack
2 / skill
2 / reaction</x:v>
      </x:c>
      <x:c r="F252" s="12" t="str">
        <x:v>00a0a308bc34</x:v>
      </x:c>
      <x:c r="G252" s="12" t="n">
        <x:v>1</x:v>
      </x:c>
    </x:row>
    <x:row r="253" ht="39.599998474121094" hidden="0" customHeight="1">
      <x:c r="A253" s="12" t="str">
        <x:v>Scrap Blade</x:v>
      </x:c>
      <x:c r="B253" s="12" t="str">
        <x:v>SCRAP SWORD</x:v>
      </x:c>
      <x:c r="C253" s="12" t="n">
        <x:v>3</x:v>
      </x:c>
      <x:c r="D253" s="12" t="str">
        <x:v>Scrap Blade — Opening Cut
Scrap Blade — Technique
Scrap Blade — Payoff</x:v>
      </x:c>
      <x:c r="E253" s="12" t="str">
        <x:v>1 / attack
1 / skill
2 / reaction</x:v>
      </x:c>
      <x:c r="F253" s="12" t="str">
        <x:v>a3a30b7b8e82</x:v>
      </x:c>
      <x:c r="G253" s="12" t="n">
        <x:v>1</x:v>
      </x:c>
    </x:row>
    <x:row r="254" ht="26.399999618530273" hidden="0" customHeight="1">
      <x:c r="A254" s="12" t="str">
        <x:v>Scrap Guard</x:v>
      </x:c>
      <x:c r="B254" s="12" t="str">
        <x:v>SCRAP SHIELD</x:v>
      </x:c>
      <x:c r="C254" s="12" t="n">
        <x:v>2</x:v>
      </x:c>
      <x:c r="D254" s="12" t="str">
        <x:v>Scrap Guard — Shield Wall
Scrap Guard — Answering Bash</x:v>
      </x:c>
      <x:c r="E254" s="12" t="str">
        <x:v>1 / skill
1 / reaction</x:v>
      </x:c>
      <x:c r="F254" s="12" t="str">
        <x:v>29bdf704190f</x:v>
      </x:c>
      <x:c r="G254" s="12" t="n">
        <x:v>1</x:v>
      </x:c>
    </x:row>
    <x:row r="255" ht="26.399999618530273" hidden="0" customHeight="1">
      <x:c r="A255" s="12" t="str">
        <x:v>Scrap Horn (Hunt Phase)</x:v>
      </x:c>
      <x:c r="B255" s="12" t="str">
        <x:v>SCRAP HORN (HUNT PHASE)</x:v>
      </x:c>
      <x:c r="C255" s="12" t="n">
        <x:v>2</x:v>
      </x:c>
      <x:c r="D255" s="12" t="str">
        <x:v>Scrap Horn (Hunt Phase) — Hunt Call
Scrap Horn (Hunt Phase) — Echo</x:v>
      </x:c>
      <x:c r="E255" s="12" t="str">
        <x:v>1 / support
0 / reaction</x:v>
      </x:c>
      <x:c r="F255" s="12" t="str">
        <x:v>a04ba2bcd4d6</x:v>
      </x:c>
      <x:c r="G255" s="12" t="n">
        <x:v>1</x:v>
      </x:c>
    </x:row>
    <x:row r="256" ht="26.399999618530273" hidden="0" customHeight="1">
      <x:c r="A256" s="12" t="str">
        <x:v>Scrap Horn (Showdown Phase)</x:v>
      </x:c>
      <x:c r="B256" s="12" t="str">
        <x:v>SCRAP HORN (SHOWDOWN PHASE)</x:v>
      </x:c>
      <x:c r="C256" s="12" t="n">
        <x:v>2</x:v>
      </x:c>
      <x:c r="D256" s="12" t="str">
        <x:v>Scrap Horn (Showdown Phase) — War Call
Scrap Horn (Showdown Phase) — Echo</x:v>
      </x:c>
      <x:c r="E256" s="12" t="str">
        <x:v>1 / support
1 / reaction</x:v>
      </x:c>
      <x:c r="F256" s="12" t="str">
        <x:v>08d9f20a807f</x:v>
      </x:c>
      <x:c r="G256" s="12" t="n">
        <x:v>1</x:v>
      </x:c>
    </x:row>
    <x:row r="257" ht="39.599998474121094" hidden="0" customHeight="1">
      <x:c r="A257" s="12" t="str">
        <x:v>Scrap Knife</x:v>
      </x:c>
      <x:c r="B257" s="12" t="str">
        <x:v>SCRAP DAGGER</x:v>
      </x:c>
      <x:c r="C257" s="12" t="n">
        <x:v>3</x:v>
      </x:c>
      <x:c r="D257" s="12" t="str">
        <x:v>Scrap Knife — Opening Cut
Scrap Knife — Technique
Scrap Knife — Payoff</x:v>
      </x:c>
      <x:c r="E257" s="12" t="str">
        <x:v>0 / attack
1 / skill
2 / attack</x:v>
      </x:c>
      <x:c r="F257" s="12" t="str">
        <x:v>e47675d7e661</x:v>
      </x:c>
      <x:c r="G257" s="12" t="n">
        <x:v>1</x:v>
      </x:c>
    </x:row>
    <x:row r="258" ht="39.599998474121094" hidden="0" customHeight="1">
      <x:c r="A258" s="12" t="str">
        <x:v>Scymitaxe</x:v>
      </x:c>
      <x:c r="B258" s="12" t="str">
        <x:v>SCYMITAXE</x:v>
      </x:c>
      <x:c r="C258" s="12" t="n">
        <x:v>3</x:v>
      </x:c>
      <x:c r="D258" s="12" t="str">
        <x:v>Scymitaxe — Opening Strike
Scymitaxe — Technique
Scymitaxe — Payoff</x:v>
      </x:c>
      <x:c r="E258" s="12" t="str">
        <x:v>1 / attack
3 / skill
3 / attack</x:v>
      </x:c>
      <x:c r="F258" s="12" t="str">
        <x:v>661d939e7fd5</x:v>
      </x:c>
      <x:c r="G258" s="12" t="n">
        <x:v>1</x:v>
      </x:c>
    </x:row>
    <x:row r="259" ht="26.399999618530273" hidden="0" customHeight="1">
      <x:c r="A259" s="12" t="str">
        <x:v>Seasoned Monster Meat</x:v>
      </x:c>
      <x:c r="B259" s="12" t="str">
        <x:v>SEASONED MONSTER MEAT</x:v>
      </x:c>
      <x:c r="C259" s="12" t="n">
        <x:v>2</x:v>
      </x:c>
      <x:c r="D259" s="12" t="str">
        <x:v>Seasoned Monster Meat — Use
Seasoned Monster Meat — Contingency</x:v>
      </x:c>
      <x:c r="E259" s="12" t="str">
        <x:v>0 / skill
1 / reaction</x:v>
      </x:c>
      <x:c r="F259" s="12" t="str">
        <x:v>55f6adc24f70</x:v>
      </x:c>
      <x:c r="G259" s="12" t="n">
        <x:v>1</x:v>
      </x:c>
    </x:row>
    <x:row r="260" ht="26.399999618530273" hidden="0" customHeight="1">
      <x:c r="A260" s="12" t="str">
        <x:v>Shadow Fur Coat</x:v>
      </x:c>
      <x:c r="B260" s="12" t="str">
        <x:v>SHADOW FUR COAT</x:v>
      </x:c>
      <x:c r="C260" s="12" t="n">
        <x:v>2</x:v>
      </x:c>
      <x:c r="D260" s="12" t="str">
        <x:v>Shadow Fur Coat — Brace
Shadow Fur Coat — Fitted Plate</x:v>
      </x:c>
      <x:c r="E260" s="12" t="str">
        <x:v>1 / skill
1 / reaction</x:v>
      </x:c>
      <x:c r="F260" s="12" t="str">
        <x:v>c3aca26d3e4d</x:v>
      </x:c>
      <x:c r="G260" s="12" t="n">
        <x:v>1</x:v>
      </x:c>
    </x:row>
    <x:row r="261" ht="26.399999618530273" hidden="0" customHeight="1">
      <x:c r="A261" s="12" t="str">
        <x:v>Shadow Fur Crown</x:v>
      </x:c>
      <x:c r="B261" s="12" t="str">
        <x:v>SHADOW FUR HELM</x:v>
      </x:c>
      <x:c r="C261" s="12" t="n">
        <x:v>2</x:v>
      </x:c>
      <x:c r="D261" s="12" t="str">
        <x:v>Shadow Fur Crown — Brace
Shadow Fur Crown — Fitted Plate</x:v>
      </x:c>
      <x:c r="E261" s="12" t="str">
        <x:v>1 / skill
1 / reaction</x:v>
      </x:c>
      <x:c r="F261" s="12" t="str">
        <x:v>16f32d0b01c3</x:v>
      </x:c>
      <x:c r="G261" s="12" t="n">
        <x:v>1</x:v>
      </x:c>
    </x:row>
    <x:row r="262" ht="26.399999618530273" hidden="0" customHeight="1">
      <x:c r="A262" s="12" t="str">
        <x:v>Shadow Fur Gloves</x:v>
      </x:c>
      <x:c r="B262" s="12" t="str">
        <x:v>SHADOW FUR GLOVES</x:v>
      </x:c>
      <x:c r="C262" s="12" t="n">
        <x:v>2</x:v>
      </x:c>
      <x:c r="D262" s="12" t="str">
        <x:v>Shadow Fur Gloves — Brace
Shadow Fur Gloves — Fitted Plate</x:v>
      </x:c>
      <x:c r="E262" s="12" t="str">
        <x:v>1 / skill
2 / reaction</x:v>
      </x:c>
      <x:c r="F262" s="12" t="str">
        <x:v>8ce9c2171ea0</x:v>
      </x:c>
      <x:c r="G262" s="12" t="n">
        <x:v>1</x:v>
      </x:c>
    </x:row>
    <x:row r="263" ht="26.399999618530273" hidden="0" customHeight="1">
      <x:c r="A263" s="12" t="str">
        <x:v>Shadow Fur Kilt</x:v>
      </x:c>
      <x:c r="B263" s="12" t="str">
        <x:v>SHADOW FUR KILT</x:v>
      </x:c>
      <x:c r="C263" s="12" t="n">
        <x:v>2</x:v>
      </x:c>
      <x:c r="D263" s="12" t="str">
        <x:v>Shadow Fur Kilt — Brace
Shadow Fur Kilt — Fitted Plate</x:v>
      </x:c>
      <x:c r="E263" s="12" t="str">
        <x:v>1 / skill
2 / reaction</x:v>
      </x:c>
      <x:c r="F263" s="12" t="str">
        <x:v>56b13adacc3d</x:v>
      </x:c>
      <x:c r="G263" s="12" t="n">
        <x:v>1</x:v>
      </x:c>
    </x:row>
    <x:row r="264" ht="26.399999618530273" hidden="0" customHeight="1">
      <x:c r="A264" s="12" t="str">
        <x:v>Shadow Fur Treads</x:v>
      </x:c>
      <x:c r="B264" s="12" t="str">
        <x:v>SHADOW FUR BOOTS</x:v>
      </x:c>
      <x:c r="C264" s="12" t="n">
        <x:v>2</x:v>
      </x:c>
      <x:c r="D264" s="12" t="str">
        <x:v>Shadow Fur Treads — Brace
Shadow Fur Treads — Fitted Plate</x:v>
      </x:c>
      <x:c r="E264" s="12" t="str">
        <x:v>1 / skill
2 / reaction</x:v>
      </x:c>
      <x:c r="F264" s="12" t="str">
        <x:v>2f3583190435</x:v>
      </x:c>
      <x:c r="G264" s="12" t="n">
        <x:v>1</x:v>
      </x:c>
    </x:row>
    <x:row r="265" ht="26.399999618530273" hidden="0" customHeight="1">
      <x:c r="A265" s="12" t="str">
        <x:v>Shadow Saliva Shawl</x:v>
      </x:c>
      <x:c r="B265" s="12" t="str">
        <x:v>SHADOW SALIVA SHAWL</x:v>
      </x:c>
      <x:c r="C265" s="12" t="n">
        <x:v>2</x:v>
      </x:c>
      <x:c r="D265" s="12" t="str">
        <x:v>Shadow Saliva Shawl — Use
Shadow Saliva Shawl — Contingency</x:v>
      </x:c>
      <x:c r="E265" s="12" t="str">
        <x:v>1 / skill
1 / reaction</x:v>
      </x:c>
      <x:c r="F265" s="12" t="str">
        <x:v>4c9d60562585</x:v>
      </x:c>
      <x:c r="G265" s="12" t="n">
        <x:v>1</x:v>
      </x:c>
    </x:row>
    <x:row r="266" ht="39.599998474121094" hidden="0" customHeight="1">
      <x:c r="A266" s="12" t="str">
        <x:v>Shaxe</x:v>
      </x:c>
      <x:c r="B266" s="12" t="str">
        <x:v>SHAXE</x:v>
      </x:c>
      <x:c r="C266" s="12" t="n">
        <x:v>3</x:v>
      </x:c>
      <x:c r="D266" s="12" t="str">
        <x:v>Shaxe — Opening Strike
Shaxe — Technique
Shaxe — Payoff</x:v>
      </x:c>
      <x:c r="E266" s="12" t="str">
        <x:v>1 / attack
2 / skill
3 / attack</x:v>
      </x:c>
      <x:c r="F266" s="12" t="str">
        <x:v>2336b6e32b61</x:v>
      </x:c>
      <x:c r="G266" s="12" t="n">
        <x:v>1</x:v>
      </x:c>
    </x:row>
    <x:row r="267" ht="26.399999618530273" hidden="0" customHeight="1">
      <x:c r="A267" s="12" t="str">
        <x:v>Shielded Quiver</x:v>
      </x:c>
      <x:c r="B267" s="12" t="str">
        <x:v>SHIELDED QUIVER</x:v>
      </x:c>
      <x:c r="C267" s="12" t="n">
        <x:v>2</x:v>
      </x:c>
      <x:c r="D267" s="12" t="str">
        <x:v>Shielded Quiver — Shield Wall
Shielded Quiver — Answering Bash</x:v>
      </x:c>
      <x:c r="E267" s="12" t="str">
        <x:v>1 / skill
1 / reaction</x:v>
      </x:c>
      <x:c r="F267" s="12" t="str">
        <x:v>58c991b53493</x:v>
      </x:c>
      <x:c r="G267" s="12" t="n">
        <x:v>1</x:v>
      </x:c>
    </x:row>
    <x:row r="268" ht="39.599998474121094" hidden="0" customHeight="1">
      <x:c r="A268" s="12" t="str">
        <x:v>Silver Harp</x:v>
      </x:c>
      <x:c r="B268" s="12" t="str">
        <x:v>SILVER HARP</x:v>
      </x:c>
      <x:c r="C268" s="12" t="n">
        <x:v>3</x:v>
      </x:c>
      <x:c r="D268" s="12" t="str">
        <x:v>Silver Harp — Opening Strike
Silver Harp — Technique
Silver Harp — Payoff</x:v>
      </x:c>
      <x:c r="E268" s="12" t="str">
        <x:v>1 / attack
2 / skill
2 / attack</x:v>
      </x:c>
      <x:c r="F268" s="12" t="str">
        <x:v>d8b246f8742a</x:v>
      </x:c>
      <x:c r="G268" s="12" t="n">
        <x:v>1</x:v>
      </x:c>
    </x:row>
    <x:row r="269" ht="26.399999618530273" hidden="0" customHeight="1">
      <x:c r="A269" s="12" t="str">
        <x:v>Skleaver</x:v>
      </x:c>
      <x:c r="B269" s="12" t="str">
        <x:v>SKLEAVER</x:v>
      </x:c>
      <x:c r="C269" s="12" t="n">
        <x:v>2</x:v>
      </x:c>
      <x:c r="D269" s="12" t="str">
        <x:v>Skleaver — Use
Skleaver — Contingency</x:v>
      </x:c>
      <x:c r="E269" s="12" t="str">
        <x:v>1 / skill
1 / reaction</x:v>
      </x:c>
      <x:c r="F269" s="12" t="str">
        <x:v>90b96af23ccb</x:v>
      </x:c>
      <x:c r="G269" s="12" t="n">
        <x:v>1</x:v>
      </x:c>
    </x:row>
    <x:row r="270" ht="26.399999618530273" hidden="0" customHeight="1">
      <x:c r="A270" s="12" t="str">
        <x:v>Skull Crown</x:v>
      </x:c>
      <x:c r="B270" s="12" t="str">
        <x:v>SKULL HELM</x:v>
      </x:c>
      <x:c r="C270" s="12" t="n">
        <x:v>2</x:v>
      </x:c>
      <x:c r="D270" s="12" t="str">
        <x:v>Skull Crown — Brace
Skull Crown — Fitted Plate</x:v>
      </x:c>
      <x:c r="E270" s="12" t="str">
        <x:v>1 / skill
2 / reaction</x:v>
      </x:c>
      <x:c r="F270" s="12" t="str">
        <x:v>54b4a7b5444b</x:v>
      </x:c>
      <x:c r="G270" s="12" t="n">
        <x:v>1</x:v>
      </x:c>
    </x:row>
    <x:row r="271" ht="39.599998474121094" hidden="0" customHeight="1">
      <x:c r="A271" s="12" t="str">
        <x:v>Skullcap Hammer</x:v>
      </x:c>
      <x:c r="B271" s="12" t="str">
        <x:v>SKULLCAP HAMMER</x:v>
      </x:c>
      <x:c r="C271" s="12" t="n">
        <x:v>3</x:v>
      </x:c>
      <x:c r="D271" s="12" t="str">
        <x:v>Skullcap Hammer — Opening Strike
Skullcap Hammer — Technique
Skullcap Hammer — Payoff</x:v>
      </x:c>
      <x:c r="E271" s="12" t="str">
        <x:v>1 / attack
1 / skill
2 / attack</x:v>
      </x:c>
      <x:c r="F271" s="12" t="str">
        <x:v>39d6618c4e71</x:v>
      </x:c>
      <x:c r="G271" s="12" t="n">
        <x:v>1</x:v>
      </x:c>
    </x:row>
    <x:row r="272" ht="39.599998474121094" hidden="0" customHeight="1">
      <x:c r="A272" s="12" t="str">
        <x:v>Sky Harpoon</x:v>
      </x:c>
      <x:c r="B272" s="12" t="str">
        <x:v>SKY HARPOON</x:v>
      </x:c>
      <x:c r="C272" s="12" t="n">
        <x:v>3</x:v>
      </x:c>
      <x:c r="D272" s="12" t="str">
        <x:v>Sky Harpoon — Opening Strike
Sky Harpoon — Technique
Sky Harpoon — Payoff</x:v>
      </x:c>
      <x:c r="E272" s="12" t="str">
        <x:v>1 / attack
2 / skill
2 / attack</x:v>
      </x:c>
      <x:c r="F272" s="12" t="str">
        <x:v>1072622cc692</x:v>
      </x:c>
      <x:c r="G272" s="12" t="n">
        <x:v>1</x:v>
      </x:c>
    </x:row>
    <x:row r="273" ht="26.399999618530273" hidden="0" customHeight="1">
      <x:c r="A273" s="12" t="str">
        <x:v>Slender Ovule</x:v>
      </x:c>
      <x:c r="B273" s="12" t="str">
        <x:v>SLENDER OVULE</x:v>
      </x:c>
      <x:c r="C273" s="12" t="n">
        <x:v>2</x:v>
      </x:c>
      <x:c r="D273" s="12" t="str">
        <x:v>Slender Ovule — Use
Slender Ovule — Contingency</x:v>
      </x:c>
      <x:c r="E273" s="12" t="str">
        <x:v>1 / skill
1 / reaction</x:v>
      </x:c>
      <x:c r="F273" s="12" t="str">
        <x:v>c43e50aad8e5</x:v>
      </x:c>
      <x:c r="G273" s="12" t="n">
        <x:v>1</x:v>
      </x:c>
    </x:row>
    <x:row r="274" ht="39.599998474121094" hidden="0" customHeight="1">
      <x:c r="A274" s="12" t="str">
        <x:v>Sonic Tomahawk</x:v>
      </x:c>
      <x:c r="B274" s="12" t="str">
        <x:v>SONIC TOMAHAWK</x:v>
      </x:c>
      <x:c r="C274" s="12" t="n">
        <x:v>3</x:v>
      </x:c>
      <x:c r="D274" s="12" t="str">
        <x:v>Sonic Tomahawk — Opening Strike
Sonic Tomahawk — Technique
Sonic Tomahawk — Payoff</x:v>
      </x:c>
      <x:c r="E274" s="12" t="str">
        <x:v>1 / attack
2 / skill
2 / attack</x:v>
      </x:c>
      <x:c r="F274" s="12" t="str">
        <x:v>3c5a817f8646</x:v>
      </x:c>
      <x:c r="G274" s="12" t="n">
        <x:v>1</x:v>
      </x:c>
    </x:row>
    <x:row r="275" ht="39.599998474121094" hidden="0" customHeight="1">
      <x:c r="A275" s="12" t="str">
        <x:v>Soothing Whip</x:v>
      </x:c>
      <x:c r="B275" s="12" t="str">
        <x:v>SOOTHING WHIP</x:v>
      </x:c>
      <x:c r="C275" s="12" t="n">
        <x:v>3</x:v>
      </x:c>
      <x:c r="D275" s="12" t="str">
        <x:v>Soothing Whip — Opening Strike
Soothing Whip — Technique
Soothing Whip — Payoff</x:v>
      </x:c>
      <x:c r="E275" s="12" t="str">
        <x:v>1 / attack
1 / skill
2 / attack</x:v>
      </x:c>
      <x:c r="F275" s="12" t="str">
        <x:v>685612c4a5a4</x:v>
      </x:c>
      <x:c r="G275" s="12" t="n">
        <x:v>1</x:v>
      </x:c>
    </x:row>
    <x:row r="276" ht="39.599998474121094" hidden="0" customHeight="1">
      <x:c r="A276" s="12" t="str">
        <x:v>Spear of Fear</x:v>
      </x:c>
      <x:c r="B276" s="12" t="str">
        <x:v>SPEAR OF FEAR</x:v>
      </x:c>
      <x:c r="C276" s="12" t="n">
        <x:v>3</x:v>
      </x:c>
      <x:c r="D276" s="12" t="str">
        <x:v>Spear of Fear — Opening Strike
Spear of Fear — Technique
Spear of Fear — Payoff</x:v>
      </x:c>
      <x:c r="E276" s="12" t="str">
        <x:v>1 / attack
2 / skill
2 / attack</x:v>
      </x:c>
      <x:c r="F276" s="12" t="str">
        <x:v>22b24334458e</x:v>
      </x:c>
      <x:c r="G276" s="12" t="n">
        <x:v>1</x:v>
      </x:c>
    </x:row>
    <x:row r="277" ht="26.399999618530273" hidden="0" customHeight="1">
      <x:c r="A277" s="12" t="str">
        <x:v>Spectral Hunter Cloak</x:v>
      </x:c>
      <x:c r="B277" s="12" t="str">
        <x:v>SPECTRAL LION CLOAK</x:v>
      </x:c>
      <x:c r="C277" s="12" t="n">
        <x:v>2</x:v>
      </x:c>
      <x:c r="D277" s="12" t="str">
        <x:v>Spectral Hunter Cloak — Brace
Spectral Hunter Cloak — Fitted Plate</x:v>
      </x:c>
      <x:c r="E277" s="12" t="str">
        <x:v>1 / skill
1 / reaction</x:v>
      </x:c>
      <x:c r="F277" s="12" t="str">
        <x:v>dc0724966121</x:v>
      </x:c>
      <x:c r="G277" s="12" t="n">
        <x:v>1</x:v>
      </x:c>
    </x:row>
    <x:row r="278" ht="26.399999618530273" hidden="0" customHeight="1">
      <x:c r="A278" s="12" t="str">
        <x:v>Speed Powder</x:v>
      </x:c>
      <x:c r="B278" s="12" t="str">
        <x:v>SPEED POWDER</x:v>
      </x:c>
      <x:c r="C278" s="12" t="n">
        <x:v>2</x:v>
      </x:c>
      <x:c r="D278" s="12" t="str">
        <x:v>Speed Powder — Use
Speed Powder — Contingency</x:v>
      </x:c>
      <x:c r="E278" s="12" t="str">
        <x:v>1 / skill
1 / reaction</x:v>
      </x:c>
      <x:c r="F278" s="12" t="str">
        <x:v>5af524147368</x:v>
      </x:c>
      <x:c r="G278" s="12" t="n">
        <x:v>1</x:v>
      </x:c>
    </x:row>
    <x:row r="279" ht="26.399999618530273" hidden="0" customHeight="1">
      <x:c r="A279" s="12" t="str">
        <x:v>Spider Visage</x:v>
      </x:c>
      <x:c r="B279" s="12" t="str">
        <x:v>SPIDER MASK</x:v>
      </x:c>
      <x:c r="C279" s="12" t="n">
        <x:v>2</x:v>
      </x:c>
      <x:c r="D279" s="12" t="str">
        <x:v>Spider Visage — Omen
Spider Visage — Glimmer</x:v>
      </x:c>
      <x:c r="E279" s="12" t="str">
        <x:v>0 / skill
0 / reaction</x:v>
      </x:c>
      <x:c r="F279" s="12" t="str">
        <x:v>63ef54048863</x:v>
      </x:c>
      <x:c r="G279" s="12" t="n">
        <x:v>1</x:v>
      </x:c>
    </x:row>
    <x:row r="280" ht="26.399999618530273" hidden="0" customHeight="1">
      <x:c r="A280" s="12" t="str">
        <x:v>Stitched Hide Armor Set</x:v>
      </x:c>
      <x:c r="B280" s="12" t="str">
        <x:v>RAWHIDE ARMOR SET</x:v>
      </x:c>
      <x:c r="C280" s="12" t="n">
        <x:v>2</x:v>
      </x:c>
      <x:c r="D280" s="12" t="str">
        <x:v>Stitched Hide Armor Set — Brace
Stitched Hide Armor Set — Setline</x:v>
      </x:c>
      <x:c r="E280" s="12" t="str">
        <x:v>1 / skill
2 / reaction</x:v>
      </x:c>
      <x:c r="F280" s="12" t="str">
        <x:v>98d8202863bf</x:v>
      </x:c>
      <x:c r="G280" s="12" t="n">
        <x:v>1</x:v>
      </x:c>
    </x:row>
    <x:row r="281" ht="26.399999618530273" hidden="0" customHeight="1">
      <x:c r="A281" s="12" t="str">
        <x:v>Stitched Hide Drum</x:v>
      </x:c>
      <x:c r="B281" s="12" t="str">
        <x:v>RAWHIDE DRUM</x:v>
      </x:c>
      <x:c r="C281" s="12" t="n">
        <x:v>2</x:v>
      </x:c>
      <x:c r="D281" s="12" t="str">
        <x:v>Stitched Hide Drum — Resonance
Stitched Hide Drum — Echo</x:v>
      </x:c>
      <x:c r="E281" s="12" t="str">
        <x:v>1 / support
1 / reaction</x:v>
      </x:c>
      <x:c r="F281" s="12" t="str">
        <x:v>c7ece504268c</x:v>
      </x:c>
      <x:c r="G281" s="12" t="n">
        <x:v>1</x:v>
      </x:c>
    </x:row>
    <x:row r="282" ht="26.399999618530273" hidden="0" customHeight="1">
      <x:c r="A282" s="12" t="str">
        <x:v>Stitched Hide Gloves</x:v>
      </x:c>
      <x:c r="B282" s="12" t="str">
        <x:v>RAWHIDE GLOVES</x:v>
      </x:c>
      <x:c r="C282" s="12" t="n">
        <x:v>2</x:v>
      </x:c>
      <x:c r="D282" s="12" t="str">
        <x:v>Stitched Hide Gloves — Brace
Stitched Hide Gloves — Fitted Plate</x:v>
      </x:c>
      <x:c r="E282" s="12" t="str">
        <x:v>1 / skill
1 / reaction</x:v>
      </x:c>
      <x:c r="F282" s="12" t="str">
        <x:v>c66751072fdc</x:v>
      </x:c>
      <x:c r="G282" s="12" t="n">
        <x:v>1</x:v>
      </x:c>
    </x:row>
    <x:row r="283" ht="26.399999618530273" hidden="0" customHeight="1">
      <x:c r="A283" s="12" t="str">
        <x:v>Stitched Hide Headband</x:v>
      </x:c>
      <x:c r="B283" s="12" t="str">
        <x:v>RAWHIDE HEADBAND</x:v>
      </x:c>
      <x:c r="C283" s="12" t="n">
        <x:v>2</x:v>
      </x:c>
      <x:c r="D283" s="12" t="str">
        <x:v>Stitched Hide Headband — Brace
Stitched Hide Headband — Fitted Plate</x:v>
      </x:c>
      <x:c r="E283" s="12" t="str">
        <x:v>1 / skill
2 / reaction</x:v>
      </x:c>
      <x:c r="F283" s="12" t="str">
        <x:v>fe4ff8a3bf34</x:v>
      </x:c>
      <x:c r="G283" s="12" t="n">
        <x:v>1</x:v>
      </x:c>
    </x:row>
    <x:row r="284" ht="26.399999618530273" hidden="0" customHeight="1">
      <x:c r="A284" s="12" t="str">
        <x:v>Stitched Hide Pants</x:v>
      </x:c>
      <x:c r="B284" s="12" t="str">
        <x:v>RAWHIDE PANTS</x:v>
      </x:c>
      <x:c r="C284" s="12" t="n">
        <x:v>2</x:v>
      </x:c>
      <x:c r="D284" s="12" t="str">
        <x:v>Stitched Hide Pants — Brace
Stitched Hide Pants — Fitted Plate</x:v>
      </x:c>
      <x:c r="E284" s="12" t="str">
        <x:v>1 / skill
1 / reaction</x:v>
      </x:c>
      <x:c r="F284" s="12" t="str">
        <x:v>94bfc9e43273</x:v>
      </x:c>
      <x:c r="G284" s="12" t="n">
        <x:v>1</x:v>
      </x:c>
    </x:row>
    <x:row r="285" ht="26.399999618530273" hidden="0" customHeight="1">
      <x:c r="A285" s="12" t="str">
        <x:v>Stitched Hide Treads</x:v>
      </x:c>
      <x:c r="B285" s="12" t="str">
        <x:v>RAWHIDE BOOTS</x:v>
      </x:c>
      <x:c r="C285" s="12" t="n">
        <x:v>2</x:v>
      </x:c>
      <x:c r="D285" s="12" t="str">
        <x:v>Stitched Hide Treads — Brace
Stitched Hide Treads — Fitted Plate</x:v>
      </x:c>
      <x:c r="E285" s="12" t="str">
        <x:v>1 / skill
1 / reaction</x:v>
      </x:c>
      <x:c r="F285" s="12" t="str">
        <x:v>24a685af4816</x:v>
      </x:c>
      <x:c r="G285" s="12" t="n">
        <x:v>1</x:v>
      </x:c>
    </x:row>
    <x:row r="286" ht="26.399999618530273" hidden="0" customHeight="1">
      <x:c r="A286" s="12" t="str">
        <x:v>Stitched Hide Vest</x:v>
      </x:c>
      <x:c r="B286" s="12" t="str">
        <x:v>RAWHIDE VEST</x:v>
      </x:c>
      <x:c r="C286" s="12" t="n">
        <x:v>2</x:v>
      </x:c>
      <x:c r="D286" s="12" t="str">
        <x:v>Stitched Hide Vest — Brace
Stitched Hide Vest — Fitted Plate</x:v>
      </x:c>
      <x:c r="E286" s="12" t="str">
        <x:v>1 / skill
2 / reaction</x:v>
      </x:c>
      <x:c r="F286" s="12" t="str">
        <x:v>cb97ff274be9</x:v>
      </x:c>
      <x:c r="G286" s="12" t="n">
        <x:v>1</x:v>
      </x:c>
    </x:row>
    <x:row r="287" ht="39.599998474121094" hidden="0" customHeight="1">
      <x:c r="A287" s="12" t="str">
        <x:v>Stitched Hide Whip</x:v>
      </x:c>
      <x:c r="B287" s="12" t="str">
        <x:v>RAWHIDE WHIP</x:v>
      </x:c>
      <x:c r="C287" s="12" t="n">
        <x:v>3</x:v>
      </x:c>
      <x:c r="D287" s="12" t="str">
        <x:v>Stitched Hide Whip — Opening Strike
Stitched Hide Whip — Technique
Stitched Hide Whip — Payoff</x:v>
      </x:c>
      <x:c r="E287" s="12" t="str">
        <x:v>1 / attack
1 / skill
2 / attack</x:v>
      </x:c>
      <x:c r="F287" s="12" t="str">
        <x:v>202262e1a41c</x:v>
      </x:c>
      <x:c r="G287" s="12" t="n">
        <x:v>1</x:v>
      </x:c>
    </x:row>
    <x:row r="288" ht="26.399999618530273" hidden="0" customHeight="1">
      <x:c r="A288" s="12" t="str">
        <x:v>Stone Noses</x:v>
      </x:c>
      <x:c r="B288" s="12" t="str">
        <x:v>STONE NOSES</x:v>
      </x:c>
      <x:c r="C288" s="12" t="n">
        <x:v>2</x:v>
      </x:c>
      <x:c r="D288" s="12" t="str">
        <x:v>Stone Noses — Use
Stone Noses — Contingency</x:v>
      </x:c>
      <x:c r="E288" s="12" t="str">
        <x:v>1 / skill
1 / reaction</x:v>
      </x:c>
      <x:c r="F288" s="12" t="str">
        <x:v>562371d0ba67</x:v>
      </x:c>
      <x:c r="G288" s="12" t="n">
        <x:v>1</x:v>
      </x:c>
    </x:row>
    <x:row r="289" ht="26.399999618530273" hidden="0" customHeight="1">
      <x:c r="A289" s="12" t="str">
        <x:v>Survivor's Lantern</x:v>
      </x:c>
      <x:c r="B289" s="12" t="str">
        <x:v>SURVIVOR'S LANTERN</x:v>
      </x:c>
      <x:c r="C289" s="12" t="n">
        <x:v>2</x:v>
      </x:c>
      <x:c r="D289" s="12" t="str">
        <x:v>Survivor's Lantern — Use
Survivor's Lantern — Contingency</x:v>
      </x:c>
      <x:c r="E289" s="12" t="str">
        <x:v>0 / skill
1 / reaction</x:v>
      </x:c>
      <x:c r="F289" s="12" t="str">
        <x:v>b1dfecff5681</x:v>
      </x:c>
      <x:c r="G289" s="12" t="n">
        <x:v>1</x:v>
      </x:c>
    </x:row>
    <x:row r="290" ht="39.599998474121094" hidden="0" customHeight="1">
      <x:c r="A290" s="12" t="str">
        <x:v>Switch Poleaxe</x:v>
      </x:c>
      <x:c r="B290" s="12" t="str">
        <x:v>SWITCH POLEAXE</x:v>
      </x:c>
      <x:c r="C290" s="12" t="n">
        <x:v>3</x:v>
      </x:c>
      <x:c r="D290" s="12" t="str">
        <x:v>Switch Poleaxe — Opening Strike
Switch Poleaxe — Technique
Switch Poleaxe — Payoff</x:v>
      </x:c>
      <x:c r="E290" s="12" t="str">
        <x:v>1 / attack
2 / skill
3 / attack</x:v>
      </x:c>
      <x:c r="F290" s="12" t="str">
        <x:v>c2b14107a79a</x:v>
      </x:c>
      <x:c r="G290" s="12" t="n">
        <x:v>1</x:v>
      </x:c>
    </x:row>
    <x:row r="291" ht="26.399999618530273" hidden="0" customHeight="1">
      <x:c r="A291" s="12" t="str">
        <x:v>Tabard</x:v>
      </x:c>
      <x:c r="B291" s="12" t="str">
        <x:v>TABARD</x:v>
      </x:c>
      <x:c r="C291" s="12" t="n">
        <x:v>2</x:v>
      </x:c>
      <x:c r="D291" s="12" t="str">
        <x:v>Tabard — Brace
Tabard — Fitted Plate</x:v>
      </x:c>
      <x:c r="E291" s="12" t="str">
        <x:v>1 / skill
1 / reaction</x:v>
      </x:c>
      <x:c r="F291" s="12" t="str">
        <x:v>70925eedf7ea</x:v>
      </x:c>
      <x:c r="G291" s="12" t="n">
        <x:v>1</x:v>
      </x:c>
    </x:row>
    <x:row r="292" ht="39.599998474121094" hidden="0" customHeight="1">
      <x:c r="A292" s="12" t="str">
        <x:v>Talon Knife</x:v>
      </x:c>
      <x:c r="B292" s="12" t="str">
        <x:v>TALON KNIFE</x:v>
      </x:c>
      <x:c r="C292" s="12" t="n">
        <x:v>3</x:v>
      </x:c>
      <x:c r="D292" s="12" t="str">
        <x:v>Talon Knife — Opening Cut
Talon Knife — Technique
Talon Knife — Payoff</x:v>
      </x:c>
      <x:c r="E292" s="12" t="str">
        <x:v>0 / attack
2 / skill
2 / attack</x:v>
      </x:c>
      <x:c r="F292" s="12" t="str">
        <x:v>67044c307d81</x:v>
      </x:c>
      <x:c r="G292" s="12" t="n">
        <x:v>1</x:v>
      </x:c>
    </x:row>
    <x:row r="293" ht="26.399999618530273" hidden="0" customHeight="1">
      <x:c r="A293" s="12" t="str">
        <x:v>The Three</x:v>
      </x:c>
      <x:c r="B293" s="12" t="str">
        <x:v>THE THREE</x:v>
      </x:c>
      <x:c r="C293" s="12" t="n">
        <x:v>2</x:v>
      </x:c>
      <x:c r="D293" s="12" t="str">
        <x:v>The Three — Use
The Three — Contingency</x:v>
      </x:c>
      <x:c r="E293" s="12" t="str">
        <x:v>1 / skill
1 / reaction</x:v>
      </x:c>
      <x:c r="F293" s="12" t="str">
        <x:v>d1732f208e2d</x:v>
      </x:c>
      <x:c r="G293" s="12" t="n">
        <x:v>1</x:v>
      </x:c>
    </x:row>
    <x:row r="294" ht="26.399999618530273" hidden="0" customHeight="1">
      <x:c r="A294" s="12" t="str">
        <x:v>Thorn</x:v>
      </x:c>
      <x:c r="B294" s="12" t="str">
        <x:v>THORN</x:v>
      </x:c>
      <x:c r="C294" s="12" t="n">
        <x:v>2</x:v>
      </x:c>
      <x:c r="D294" s="12" t="str">
        <x:v>Thorn — Resonance
Thorn — Echo</x:v>
      </x:c>
      <x:c r="E294" s="12" t="str">
        <x:v>1 / support
1 / reaction</x:v>
      </x:c>
      <x:c r="F294" s="12" t="str">
        <x:v>89c90a1a1a13</x:v>
      </x:c>
      <x:c r="G294" s="12" t="n">
        <x:v>1</x:v>
      </x:c>
    </x:row>
    <x:row r="295" ht="39.599998474121094" hidden="0" customHeight="1">
      <x:c r="A295" s="12" t="str">
        <x:v>Throwing Knife</x:v>
      </x:c>
      <x:c r="B295" s="12" t="str">
        <x:v>THROWING KNIFE</x:v>
      </x:c>
      <x:c r="C295" s="12" t="n">
        <x:v>3</x:v>
      </x:c>
      <x:c r="D295" s="12" t="str">
        <x:v>Throwing Knife — Opening Strike
Throwing Knife — Technique
Throwing Knife — Payoff</x:v>
      </x:c>
      <x:c r="E295" s="12" t="str">
        <x:v>1 / attack
2 / skill
2 / attack</x:v>
      </x:c>
      <x:c r="F295" s="12" t="str">
        <x:v>2f53478115a2</x:v>
      </x:c>
      <x:c r="G295" s="12" t="n">
        <x:v>1</x:v>
      </x:c>
    </x:row>
    <x:row r="296" ht="26.399999618530273" hidden="0" customHeight="1">
      <x:c r="A296" s="12" t="str">
        <x:v>Trom Bone (Hunt Phase)</x:v>
      </x:c>
      <x:c r="B296" s="12" t="str">
        <x:v>TROM BONE (HUNT PHASE)</x:v>
      </x:c>
      <x:c r="C296" s="12" t="n">
        <x:v>2</x:v>
      </x:c>
      <x:c r="D296" s="12" t="str">
        <x:v>Trom Bone (Hunt Phase) — Use
Trom Bone (Hunt Phase) — Contingency</x:v>
      </x:c>
      <x:c r="E296" s="12" t="str">
        <x:v>0 / skill
0 / reaction</x:v>
      </x:c>
      <x:c r="F296" s="12" t="str">
        <x:v>8250550382db</x:v>
      </x:c>
      <x:c r="G296" s="12" t="n">
        <x:v>1</x:v>
      </x:c>
    </x:row>
    <x:row r="297" ht="26.399999618530273" hidden="0" customHeight="1">
      <x:c r="A297" s="12" t="str">
        <x:v>Trom Bone (Showdown Phase)</x:v>
      </x:c>
      <x:c r="B297" s="12" t="str">
        <x:v>TROM BONE (SHOWDOWN PHASE)</x:v>
      </x:c>
      <x:c r="C297" s="12" t="n">
        <x:v>2</x:v>
      </x:c>
      <x:c r="D297" s="12" t="str">
        <x:v>Trom Bone (Showdown Phase) — Use
Trom Bone (Showdown Phase) — Contingency</x:v>
      </x:c>
      <x:c r="E297" s="12" t="str">
        <x:v>1 / skill
1 / reaction</x:v>
      </x:c>
      <x:c r="F297" s="12" t="str">
        <x:v>6f4872fe52e0</x:v>
      </x:c>
      <x:c r="G297" s="12" t="n">
        <x:v>1</x:v>
      </x:c>
    </x:row>
    <x:row r="298" ht="26.399999618530273" hidden="0" customHeight="1">
      <x:c r="A298" s="12" t="str">
        <x:v>Vagabond Armor Set</x:v>
      </x:c>
      <x:c r="B298" s="12" t="str">
        <x:v>VAGABOND ARMOR SET</x:v>
      </x:c>
      <x:c r="C298" s="12" t="n">
        <x:v>2</x:v>
      </x:c>
      <x:c r="D298" s="12" t="str">
        <x:v>Vagabond Armor Set — Brace
Vagabond Armor Set — Setline</x:v>
      </x:c>
      <x:c r="E298" s="12" t="str">
        <x:v>1 / skill
1 / reaction</x:v>
      </x:c>
      <x:c r="F298" s="12" t="str">
        <x:v>d9b8636bbfbf</x:v>
      </x:c>
      <x:c r="G298" s="12" t="n">
        <x:v>1</x:v>
      </x:c>
    </x:row>
    <x:row r="299" ht="39.599998474121094" hidden="0" customHeight="1">
      <x:c r="A299" s="12" t="str">
        <x:v>Vespertine Arrow</x:v>
      </x:c>
      <x:c r="B299" s="12" t="str">
        <x:v>VESPERTINE ARROW</x:v>
      </x:c>
      <x:c r="C299" s="12" t="n">
        <x:v>3</x:v>
      </x:c>
      <x:c r="D299" s="12" t="str">
        <x:v>Vespertine Arrow — Opening Strike
Vespertine Arrow — Technique
Vespertine Arrow — Payoff</x:v>
      </x:c>
      <x:c r="E299" s="12" t="str">
        <x:v>1 / attack
2 / skill
2 / attack</x:v>
      </x:c>
      <x:c r="F299" s="12" t="str">
        <x:v>99fd8b2e5694</x:v>
      </x:c>
      <x:c r="G299" s="12" t="n">
        <x:v>1</x:v>
      </x:c>
    </x:row>
    <x:row r="300" ht="39.599998474121094" hidden="0" customHeight="1">
      <x:c r="A300" s="12" t="str">
        <x:v>Vespertine Bow</x:v>
      </x:c>
      <x:c r="B300" s="12" t="str">
        <x:v>VESPERTINE BOW</x:v>
      </x:c>
      <x:c r="C300" s="12" t="n">
        <x:v>3</x:v>
      </x:c>
      <x:c r="D300" s="12" t="str">
        <x:v>Vespertine Bow — Opening Strike
Vespertine Bow — Technique
Vespertine Bow — Payoff</x:v>
      </x:c>
      <x:c r="E300" s="12" t="str">
        <x:v>1 / attack
1 / skill
2 / attack</x:v>
      </x:c>
      <x:c r="F300" s="12" t="str">
        <x:v>eddb4dcabb6d</x:v>
      </x:c>
      <x:c r="G300" s="12" t="n">
        <x:v>1</x:v>
      </x:c>
    </x:row>
    <x:row r="301" ht="26.399999618530273" hidden="0" customHeight="1">
      <x:c r="A301" s="12" t="str">
        <x:v>Vespertine Cello</x:v>
      </x:c>
      <x:c r="B301" s="12" t="str">
        <x:v>VESPERTINE CELLO</x:v>
      </x:c>
      <x:c r="C301" s="12" t="n">
        <x:v>2</x:v>
      </x:c>
      <x:c r="D301" s="12" t="str">
        <x:v>Vespertine Cello — Resonance
Vespertine Cello — Echo</x:v>
      </x:c>
      <x:c r="E301" s="12" t="str">
        <x:v>1 / support
1 / reaction</x:v>
      </x:c>
      <x:c r="F301" s="12" t="str">
        <x:v>4a130acd4932</x:v>
      </x:c>
      <x:c r="G301" s="12" t="n">
        <x:v>1</x:v>
      </x:c>
    </x:row>
    <x:row r="302" ht="26.399999618530273" hidden="0" customHeight="1">
      <x:c r="A302" s="12" t="str">
        <x:v>Vespertine Foil</x:v>
      </x:c>
      <x:c r="B302" s="12" t="str">
        <x:v>VESPERTINE FOIL</x:v>
      </x:c>
      <x:c r="C302" s="12" t="n">
        <x:v>2</x:v>
      </x:c>
      <x:c r="D302" s="12" t="str">
        <x:v>Vespertine Foil — Use
Vespertine Foil — Contingency</x:v>
      </x:c>
      <x:c r="E302" s="12" t="str">
        <x:v>1 / skill
1 / reaction</x:v>
      </x:c>
      <x:c r="F302" s="12" t="str">
        <x:v>cf160af22755</x:v>
      </x:c>
      <x:c r="G302" s="12" t="n">
        <x:v>1</x:v>
      </x:c>
    </x:row>
    <x:row r="303" ht="26.399999618530273" hidden="0" customHeight="1">
      <x:c r="A303" s="12" t="str">
        <x:v>Wailing Armor Set</x:v>
      </x:c>
      <x:c r="B303" s="12" t="str">
        <x:v>SCREAMING ARMOR SET</x:v>
      </x:c>
      <x:c r="C303" s="12" t="n">
        <x:v>2</x:v>
      </x:c>
      <x:c r="D303" s="12" t="str">
        <x:v>Wailing Armor Set — Brace
Wailing Armor Set — Setline</x:v>
      </x:c>
      <x:c r="E303" s="12" t="str">
        <x:v>1 / skill
2 / reaction</x:v>
      </x:c>
      <x:c r="F303" s="12" t="str">
        <x:v>df1cfe3458d5</x:v>
      </x:c>
      <x:c r="G303" s="12" t="n">
        <x:v>1</x:v>
      </x:c>
    </x:row>
    <x:row r="304" ht="26.399999618530273" hidden="0" customHeight="1">
      <x:c r="A304" s="12" t="str">
        <x:v>Wailing Bracers</x:v>
      </x:c>
      <x:c r="B304" s="12" t="str">
        <x:v>SCREAMING BRACERS</x:v>
      </x:c>
      <x:c r="C304" s="12" t="n">
        <x:v>2</x:v>
      </x:c>
      <x:c r="D304" s="12" t="str">
        <x:v>Wailing Bracers — Brace
Wailing Bracers — Fitted Plate</x:v>
      </x:c>
      <x:c r="E304" s="12" t="str">
        <x:v>1 / skill
1 / reaction</x:v>
      </x:c>
      <x:c r="F304" s="12" t="str">
        <x:v>2b2b5b3734b4</x:v>
      </x:c>
      <x:c r="G304" s="12" t="n">
        <x:v>1</x:v>
      </x:c>
    </x:row>
    <x:row r="305" ht="26.399999618530273" hidden="0" customHeight="1">
      <x:c r="A305" s="12" t="str">
        <x:v>Wailing Coat</x:v>
      </x:c>
      <x:c r="B305" s="12" t="str">
        <x:v>SCREAMING COAT</x:v>
      </x:c>
      <x:c r="C305" s="12" t="n">
        <x:v>2</x:v>
      </x:c>
      <x:c r="D305" s="12" t="str">
        <x:v>Wailing Coat — Brace
Wailing Coat — Fitted Plate</x:v>
      </x:c>
      <x:c r="E305" s="12" t="str">
        <x:v>1 / skill
2 / reaction</x:v>
      </x:c>
      <x:c r="F305" s="12" t="str">
        <x:v>e024095a7759</x:v>
      </x:c>
      <x:c r="G305" s="12" t="n">
        <x:v>1</x:v>
      </x:c>
    </x:row>
    <x:row r="306" ht="26.399999618530273" hidden="0" customHeight="1">
      <x:c r="A306" s="12" t="str">
        <x:v>Wailing Horns</x:v>
      </x:c>
      <x:c r="B306" s="12" t="str">
        <x:v>SCREAMING HORNS</x:v>
      </x:c>
      <x:c r="C306" s="12" t="n">
        <x:v>2</x:v>
      </x:c>
      <x:c r="D306" s="12" t="str">
        <x:v>Wailing Horns — Resonance
Wailing Horns — Echo</x:v>
      </x:c>
      <x:c r="E306" s="12" t="str">
        <x:v>1 / support
1 / reaction</x:v>
      </x:c>
      <x:c r="F306" s="12" t="str">
        <x:v>660cd7e8eef6</x:v>
      </x:c>
      <x:c r="G306" s="12" t="n">
        <x:v>1</x:v>
      </x:c>
    </x:row>
    <x:row r="307" ht="26.399999618530273" hidden="0" customHeight="1">
      <x:c r="A307" s="12" t="str">
        <x:v>Wailing Leg Warmers</x:v>
      </x:c>
      <x:c r="B307" s="12" t="str">
        <x:v>SCREAMING LEG WARMERS</x:v>
      </x:c>
      <x:c r="C307" s="12" t="n">
        <x:v>2</x:v>
      </x:c>
      <x:c r="D307" s="12" t="str">
        <x:v>Wailing Leg Warmers — Brace
Wailing Leg Warmers — Fitted Plate</x:v>
      </x:c>
      <x:c r="E307" s="12" t="str">
        <x:v>1 / skill
2 / reaction</x:v>
      </x:c>
      <x:c r="F307" s="12" t="str">
        <x:v>532d0278d377</x:v>
      </x:c>
      <x:c r="G307" s="12" t="n">
        <x:v>1</x:v>
      </x:c>
    </x:row>
    <x:row r="308" ht="26.399999618530273" hidden="0" customHeight="1">
      <x:c r="A308" s="12" t="str">
        <x:v>Wailing Skirt</x:v>
      </x:c>
      <x:c r="B308" s="12" t="str">
        <x:v>SCREAMING SKIRT</x:v>
      </x:c>
      <x:c r="C308" s="12" t="n">
        <x:v>2</x:v>
      </x:c>
      <x:c r="D308" s="12" t="str">
        <x:v>Wailing Skirt — Brace
Wailing Skirt — Fitted Plate</x:v>
      </x:c>
      <x:c r="E308" s="12" t="str">
        <x:v>1 / skill
1 / reaction</x:v>
      </x:c>
      <x:c r="F308" s="12" t="str">
        <x:v>a8720448e193</x:v>
      </x:c>
      <x:c r="G308" s="12" t="n">
        <x:v>1</x:v>
      </x:c>
    </x:row>
    <x:row r="309" ht="26.399999618530273" hidden="0" customHeight="1">
      <x:c r="A309" s="12" t="str">
        <x:v>Web Eye Wreath</x:v>
      </x:c>
      <x:c r="B309" s="12" t="str">
        <x:v>WEB EYE WREATH</x:v>
      </x:c>
      <x:c r="C309" s="12" t="n">
        <x:v>2</x:v>
      </x:c>
      <x:c r="D309" s="12" t="str">
        <x:v>Web Eye Wreath — Omen
Web Eye Wreath — Glimmer</x:v>
      </x:c>
      <x:c r="E309" s="12" t="str">
        <x:v>0 / skill
0 / reaction</x:v>
      </x:c>
      <x:c r="F309" s="12" t="str">
        <x:v>169119f867a8</x:v>
      </x:c>
      <x:c r="G309" s="12" t="n">
        <x:v>1</x:v>
      </x:c>
    </x:row>
    <x:row r="310" ht="26.399999618530273" hidden="0" customHeight="1">
      <x:c r="A310" s="12" t="str">
        <x:v>Websilk Armor Set</x:v>
      </x:c>
      <x:c r="B310" s="12" t="str">
        <x:v>SILK ARMOR SET</x:v>
      </x:c>
      <x:c r="C310" s="12" t="n">
        <x:v>2</x:v>
      </x:c>
      <x:c r="D310" s="12" t="str">
        <x:v>Websilk Armor Set — Brace
Websilk Armor Set — Setline</x:v>
      </x:c>
      <x:c r="E310" s="12" t="str">
        <x:v>1 / skill
2 / reaction</x:v>
      </x:c>
      <x:c r="F310" s="12" t="str">
        <x:v>90d3794a1a36</x:v>
      </x:c>
      <x:c r="G310" s="12" t="n">
        <x:v>1</x:v>
      </x:c>
    </x:row>
    <x:row r="311" ht="26.399999618530273" hidden="0" customHeight="1">
      <x:c r="A311" s="12" t="str">
        <x:v>Websilk Body Suit</x:v>
      </x:c>
      <x:c r="B311" s="12" t="str">
        <x:v>SILK BODY SUIT</x:v>
      </x:c>
      <x:c r="C311" s="12" t="n">
        <x:v>2</x:v>
      </x:c>
      <x:c r="D311" s="12" t="str">
        <x:v>Websilk Body Suit — Brace
Websilk Body Suit — Fitted Plate</x:v>
      </x:c>
      <x:c r="E311" s="12" t="str">
        <x:v>1 / skill
1 / reaction</x:v>
      </x:c>
      <x:c r="F311" s="12" t="str">
        <x:v>f80c46f2c0be</x:v>
      </x:c>
      <x:c r="G311" s="12" t="n">
        <x:v>1</x:v>
      </x:c>
    </x:row>
    <x:row r="312" ht="26.399999618530273" hidden="0" customHeight="1">
      <x:c r="A312" s="12" t="str">
        <x:v>Websilk Bomb</x:v>
      </x:c>
      <x:c r="B312" s="12" t="str">
        <x:v>SILK BOMB</x:v>
      </x:c>
      <x:c r="C312" s="12" t="n">
        <x:v>2</x:v>
      </x:c>
      <x:c r="D312" s="12" t="str">
        <x:v>Websilk Bomb — Use
Websilk Bomb — Contingency</x:v>
      </x:c>
      <x:c r="E312" s="12" t="str">
        <x:v>0 / skill
1 / reaction</x:v>
      </x:c>
      <x:c r="F312" s="12" t="str">
        <x:v>5f953fa480fc</x:v>
      </x:c>
      <x:c r="G312" s="12" t="n">
        <x:v>1</x:v>
      </x:c>
    </x:row>
    <x:row r="313" ht="26.399999618530273" hidden="0" customHeight="1">
      <x:c r="A313" s="12" t="str">
        <x:v>Websilk Robes</x:v>
      </x:c>
      <x:c r="B313" s="12" t="str">
        <x:v>SILK ROBES</x:v>
      </x:c>
      <x:c r="C313" s="12" t="n">
        <x:v>2</x:v>
      </x:c>
      <x:c r="D313" s="12" t="str">
        <x:v>Websilk Robes — Brace
Websilk Robes — Fitted Plate</x:v>
      </x:c>
      <x:c r="E313" s="12" t="str">
        <x:v>1 / skill
2 / reaction</x:v>
      </x:c>
      <x:c r="F313" s="12" t="str">
        <x:v>c61b8eedba92</x:v>
      </x:c>
      <x:c r="G313" s="12" t="n">
        <x:v>1</x:v>
      </x:c>
    </x:row>
    <x:row r="314" ht="26.399999618530273" hidden="0" customHeight="1">
      <x:c r="A314" s="12" t="str">
        <x:v>Websilk Sash</x:v>
      </x:c>
      <x:c r="B314" s="12" t="str">
        <x:v>SILK SASH</x:v>
      </x:c>
      <x:c r="C314" s="12" t="n">
        <x:v>2</x:v>
      </x:c>
      <x:c r="D314" s="12" t="str">
        <x:v>Websilk Sash — Brace
Websilk Sash — Fitted Plate</x:v>
      </x:c>
      <x:c r="E314" s="12" t="str">
        <x:v>1 / skill
1 / reaction</x:v>
      </x:c>
      <x:c r="F314" s="12" t="str">
        <x:v>aaf425a9f9d4</x:v>
      </x:c>
      <x:c r="G314" s="12" t="n">
        <x:v>1</x:v>
      </x:c>
    </x:row>
    <x:row r="315" ht="26.399999618530273" hidden="0" customHeight="1">
      <x:c r="A315" s="12" t="str">
        <x:v>Websilk Treads</x:v>
      </x:c>
      <x:c r="B315" s="12" t="str">
        <x:v>SILK BOOTS</x:v>
      </x:c>
      <x:c r="C315" s="12" t="n">
        <x:v>2</x:v>
      </x:c>
      <x:c r="D315" s="12" t="str">
        <x:v>Websilk Treads — Brace
Websilk Treads — Fitted Plate</x:v>
      </x:c>
      <x:c r="E315" s="12" t="str">
        <x:v>1 / skill
1 / reaction</x:v>
      </x:c>
      <x:c r="F315" s="12" t="str">
        <x:v>d2788b05a3fa</x:v>
      </x:c>
      <x:c r="G315" s="12" t="n">
        <x:v>1</x:v>
      </x:c>
    </x:row>
    <x:row r="316" ht="26.399999618530273" hidden="0" customHeight="1">
      <x:c r="A316" s="12" t="str">
        <x:v>Websilk Turban</x:v>
      </x:c>
      <x:c r="B316" s="12" t="str">
        <x:v>SILK TURBAN</x:v>
      </x:c>
      <x:c r="C316" s="12" t="n">
        <x:v>2</x:v>
      </x:c>
      <x:c r="D316" s="12" t="str">
        <x:v>Websilk Turban — Brace
Websilk Turban — Fitted Plate</x:v>
      </x:c>
      <x:c r="E316" s="12" t="str">
        <x:v>1 / skill
2 / reaction</x:v>
      </x:c>
      <x:c r="F316" s="12" t="str">
        <x:v>b0abbb1a166c</x:v>
      </x:c>
      <x:c r="G316" s="12" t="n">
        <x:v>1</x:v>
      </x:c>
    </x:row>
    <x:row r="317" ht="39.599998474121094" hidden="0" customHeight="1">
      <x:c r="A317" s="12" t="str">
        <x:v>Websilk Whip</x:v>
      </x:c>
      <x:c r="B317" s="12" t="str">
        <x:v>SILK WHIP</x:v>
      </x:c>
      <x:c r="C317" s="12" t="n">
        <x:v>3</x:v>
      </x:c>
      <x:c r="D317" s="12" t="str">
        <x:v>Websilk Whip — Opening Strike
Websilk Whip — Technique
Websilk Whip — Payoff</x:v>
      </x:c>
      <x:c r="E317" s="12" t="str">
        <x:v>1 / attack
1 / skill
2 / attack</x:v>
      </x:c>
      <x:c r="F317" s="12" t="str">
        <x:v>8b92f357b527</x:v>
      </x:c>
      <x:c r="G317" s="12" t="n">
        <x:v>1</x:v>
      </x:c>
    </x:row>
    <x:row r="318" ht="26.399999618530273" hidden="0" customHeight="1">
      <x:c r="A318" s="12" t="str">
        <x:v>Websilk Wraps</x:v>
      </x:c>
      <x:c r="B318" s="12" t="str">
        <x:v>SILK WRAPS</x:v>
      </x:c>
      <x:c r="C318" s="12" t="n">
        <x:v>2</x:v>
      </x:c>
      <x:c r="D318" s="12" t="str">
        <x:v>Websilk Wraps — Brace
Websilk Wraps — Fitted Plate</x:v>
      </x:c>
      <x:c r="E318" s="12" t="str">
        <x:v>1 / skill
2 / reaction</x:v>
      </x:c>
      <x:c r="F318" s="12" t="str">
        <x:v>280ef4e28892</x:v>
      </x:c>
      <x:c r="G318" s="12" t="n">
        <x:v>1</x:v>
      </x:c>
    </x:row>
    <x:row r="319" ht="26.399999618530273" hidden="0" customHeight="1">
      <x:c r="A319" s="12" t="str">
        <x:v>Websilken Armor Set</x:v>
      </x:c>
      <x:c r="B319" s="12" t="str">
        <x:v>SILKEN ARMOR SET</x:v>
      </x:c>
      <x:c r="C319" s="12" t="n">
        <x:v>2</x:v>
      </x:c>
      <x:c r="D319" s="12" t="str">
        <x:v>Websilken Armor Set — Brace
Websilken Armor Set — Setline</x:v>
      </x:c>
      <x:c r="E319" s="12" t="str">
        <x:v>1 / skill
1 / reaction</x:v>
      </x:c>
      <x:c r="F319" s="12" t="str">
        <x:v>05fb6bb1d0b8</x:v>
      </x:c>
      <x:c r="G319" s="12" t="n">
        <x:v>1</x:v>
      </x:c>
    </x:row>
    <x:row r="320" ht="26.399999618530273" hidden="0" customHeight="1">
      <x:c r="A320" s="12" t="str">
        <x:v>Whisker Harp</x:v>
      </x:c>
      <x:c r="B320" s="12" t="str">
        <x:v>WHISKER HARP</x:v>
      </x:c>
      <x:c r="C320" s="12" t="n">
        <x:v>2</x:v>
      </x:c>
      <x:c r="D320" s="12" t="str">
        <x:v>Whisker Harp — Resonance
Whisker Harp — Echo</x:v>
      </x:c>
      <x:c r="E320" s="12" t="str">
        <x:v>1 / support
1 / reaction</x:v>
      </x:c>
      <x:c r="F320" s="12" t="str">
        <x:v>9588ce933995</x:v>
      </x:c>
      <x:c r="G320" s="12" t="n">
        <x:v>1</x:v>
      </x:c>
    </x:row>
    <x:row r="321" ht="39.599998474121094" hidden="0" customHeight="1">
      <x:c r="A321" s="12" t="str">
        <x:v>Whistling Mace</x:v>
      </x:c>
      <x:c r="B321" s="12" t="str">
        <x:v>WHISTLING MACE</x:v>
      </x:c>
      <x:c r="C321" s="12" t="n">
        <x:v>3</x:v>
      </x:c>
      <x:c r="D321" s="12" t="str">
        <x:v>Whistling Mace — Opening Strike
Whistling Mace — Technique
Whistling Mace — Payoff</x:v>
      </x:c>
      <x:c r="E321" s="12" t="str">
        <x:v>1 / attack
2 / skill
2 / attack</x:v>
      </x:c>
      <x:c r="F321" s="12" t="str">
        <x:v>9f3a76c9d939</x:v>
      </x:c>
      <x:c r="G321" s="12" t="n">
        <x:v>1</x:v>
      </x:c>
    </x:row>
    <x:row r="322" ht="26.399999618530273" hidden="0" customHeight="1">
      <x:c r="A322" s="12" t="str">
        <x:v>Winding Horn (Hunt Phase)</x:v>
      </x:c>
      <x:c r="B322" s="12" t="str">
        <x:v>WINDING HORN (HUNT PHASE)</x:v>
      </x:c>
      <x:c r="C322" s="12" t="n">
        <x:v>2</x:v>
      </x:c>
      <x:c r="D322" s="12" t="str">
        <x:v>Winding Horn (Hunt Phase) — Hunt Call
Winding Horn (Hunt Phase) — Echo</x:v>
      </x:c>
      <x:c r="E322" s="12" t="str">
        <x:v>1 / support
0 / reaction</x:v>
      </x:c>
      <x:c r="F322" s="12" t="str">
        <x:v>fa9431cfa4c5</x:v>
      </x:c>
      <x:c r="G322" s="12" t="n">
        <x:v>1</x:v>
      </x:c>
    </x:row>
    <x:row r="323" ht="26.399999618530273" hidden="0" customHeight="1">
      <x:c r="A323" s="12" t="str">
        <x:v>Winding Horn (Showdown Phase)</x:v>
      </x:c>
      <x:c r="B323" s="12" t="str">
        <x:v>WINDING HORN (SHOWDOWN PHASE)</x:v>
      </x:c>
      <x:c r="C323" s="12" t="n">
        <x:v>2</x:v>
      </x:c>
      <x:c r="D323" s="12" t="str">
        <x:v>Winding Horn (Showdown Phase) — War Call
Winding Horn (Showdown Phase) — Echo</x:v>
      </x:c>
      <x:c r="E323" s="12" t="str">
        <x:v>1 / support
1 / reaction</x:v>
      </x:c>
      <x:c r="F323" s="12" t="str">
        <x:v>246a85cce557</x:v>
      </x:c>
      <x:c r="G323" s="12" t="n">
        <x:v>1</x:v>
      </x:c>
    </x:row>
    <x:row r="324" ht="26.399999618530273" hidden="0" customHeight="1">
      <x:c r="A324" s="12" t="str">
        <x:v>Winged Harp (Hunt Phase)</x:v>
      </x:c>
      <x:c r="B324" s="12" t="str">
        <x:v>WINGED HARP (HUNT PHASE)</x:v>
      </x:c>
      <x:c r="C324" s="12" t="n">
        <x:v>2</x:v>
      </x:c>
      <x:c r="D324" s="12" t="str">
        <x:v>Winged Harp (Hunt Phase) — Hunt Call
Winged Harp (Hunt Phase) — Echo</x:v>
      </x:c>
      <x:c r="E324" s="12" t="str">
        <x:v>1 / support
0 / reaction</x:v>
      </x:c>
      <x:c r="F324" s="12" t="str">
        <x:v>e69a08c7b655</x:v>
      </x:c>
      <x:c r="G324" s="12" t="n">
        <x:v>1</x:v>
      </x:c>
    </x:row>
    <x:row r="325" ht="26.399999618530273" hidden="0" customHeight="1">
      <x:c r="A325" s="12" t="str">
        <x:v>Winged Harp (Showdown Phase)</x:v>
      </x:c>
      <x:c r="B325" s="12" t="str">
        <x:v>WINGED HARP (SHOWDOWN PHASE)</x:v>
      </x:c>
      <x:c r="C325" s="12" t="n">
        <x:v>2</x:v>
      </x:c>
      <x:c r="D325" s="12" t="str">
        <x:v>Winged Harp (Showdown Phase) — War Call
Winged Harp (Showdown Phase) — Echo</x:v>
      </x:c>
      <x:c r="E325" s="12" t="str">
        <x:v>1 / support
1 / reaction</x:v>
      </x:c>
      <x:c r="F325" s="12" t="str">
        <x:v>b60a76f70694</x:v>
      </x:c>
      <x:c r="G325" s="12" t="n">
        <x:v>1</x:v>
      </x:c>
    </x:row>
    <x:row r="326" ht="39.599998474121094" hidden="0" customHeight="1">
      <x:c r="A326" s="12" t="str">
        <x:v>Xmaxe</x:v>
      </x:c>
      <x:c r="B326" s="12" t="str">
        <x:v>XMAXE</x:v>
      </x:c>
      <x:c r="C326" s="12" t="n">
        <x:v>3</x:v>
      </x:c>
      <x:c r="D326" s="12" t="str">
        <x:v>Xmaxe — Opening Strike
Xmaxe — Technique
Xmaxe — Payoff</x:v>
      </x:c>
      <x:c r="E326" s="12" t="str">
        <x:v>1 / attack
2 / skill
3 / attack</x:v>
      </x:c>
      <x:c r="F326" s="12" t="str">
        <x:v>6de1ead62148</x:v>
      </x:c>
      <x:c r="G326" s="12" t="n">
        <x:v>1</x:v>
      </x:c>
    </x:row>
    <x:row r="327" ht="39.599998474121094" hidden="0" customHeight="1">
      <x:c r="A327" s="12" t="str">
        <x:v>Zanbato</x:v>
      </x:c>
      <x:c r="B327" s="12" t="str">
        <x:v>ZANBATO</x:v>
      </x:c>
      <x:c r="C327" s="12" t="n">
        <x:v>3</x:v>
      </x:c>
      <x:c r="D327" s="12" t="str">
        <x:v>Zanbato — Opening Strike
Zanbato — Technique
Zanbato — Payoff</x:v>
      </x:c>
      <x:c r="E327" s="12" t="str">
        <x:v>2 / attack
1 / skill
3 / attack</x:v>
      </x:c>
      <x:c r="F327" s="12" t="str">
        <x:v>791b5898cc1c</x:v>
      </x:c>
      <x:c r="G327" s="12" t="n">
        <x:v>1</x:v>
      </x:c>
    </x:row>
    <x:row r="328" ht="39.599998474121094" hidden="0" customHeight="1">
      <x:c r="A328" s="12" t="str">
        <x:v>Zanbato (Broken)</x:v>
      </x:c>
      <x:c r="B328" s="12" t="str">
        <x:v>ZANBATO (BROKEN)</x:v>
      </x:c>
      <x:c r="C328" s="12" t="n">
        <x:v>3</x:v>
      </x:c>
      <x:c r="D328" s="12" t="str">
        <x:v>Zanbato (Broken) — Opening Strike
Zanbato (Broken) — Technique
Zanbato (Broken) — Payoff</x:v>
      </x:c>
      <x:c r="E328" s="12" t="str">
        <x:v>3 / attack
2 / skill
4 / attack</x:v>
      </x:c>
      <x:c r="F328" s="12" t="str">
        <x:v>569aeda70a81</x:v>
      </x:c>
      <x:c r="G328" s="12" t="n">
        <x:v>1</x:v>
      </x:c>
    </x:row>
  </x:sheetData>
  <x:conditionalFormatting sqref="G2:G328">
    <x:cfRule type="cellIs" dxfId="2" priority="1" operator="greaterThan">
      <x:formula>1</x:formula>
    </x:cfRule>
  </x:conditionalFormatting>
  <x:pageMargins left="0.7" right="0.7" top="0.75" bottom="0.75" header="0.3" footer="0.3"/>
  <x:tableParts count="1">
    <x:tablePart xmlns:r="http://schemas.openxmlformats.org/officeDocument/2006/relationships" r:id="Re56fb334b59c4061"/>
  </x:tableParts>
</x:worksheet>
</file>

<file path=xl/worksheets/sheet5.xml><?xml version="1.0" encoding="utf-8"?>
<x:worksheet xmlns:x="http://schemas.openxmlformats.org/spreadsheetml/2006/main">
  <x:sheetFormatPr defaultRowHeight="15"/>
  <x:cols>
    <x:col min="1" max="1" width="26" hidden="0" customWidth="1"/>
    <x:col min="2" max="2" width="32" hidden="0" customWidth="1"/>
    <x:col min="3" max="3" width="8" hidden="0" customWidth="1"/>
    <x:col min="4" max="4" width="12" hidden="0" customWidth="1"/>
    <x:col min="5" max="5" width="48" hidden="0" customWidth="1"/>
    <x:col min="6" max="6" width="70" hidden="0" customWidth="1"/>
    <x:col min="7" max="7" width="18" hidden="0" customWidth="1"/>
    <x:col min="8" max="8" width="34" hidden="0" customWidth="1"/>
  </x:cols>
  <x:sheetData>
    <x:row r="1" ht="15" hidden="0" customHeight="1">
      <x:c r="A1" s="55" t="str">
        <x:v>Equipment</x:v>
      </x:c>
      <x:c r="B1" s="55" t="str">
        <x:v>Card Name</x:v>
      </x:c>
      <x:c r="C1" s="55" t="str">
        <x:v>Cost</x:v>
      </x:c>
      <x:c r="D1" s="55" t="str">
        <x:v>Type</x:v>
      </x:c>
      <x:c r="E1" s="55" t="str">
        <x:v>Short Effect</x:v>
      </x:c>
      <x:c r="F1" s="55" t="str">
        <x:v>Full Effect</x:v>
      </x:c>
      <x:c r="G1" s="55" t="str">
        <x:v>First Counter Free</x:v>
      </x:c>
      <x:c r="H1" s="55" t="str">
        <x:v>Mechanic Flags</x:v>
      </x:c>
    </x:row>
    <x:row r="2" ht="39.599998474121094" hidden="0" customHeight="1">
      <x:c r="A2" s="12" t="str">
        <x:v>Beacon Guard</x:v>
      </x:c>
      <x:c r="B2" s="12" t="str">
        <x:v>Beacon Guard — Answering Bash</x:v>
      </x:c>
      <x:c r="C2" s="12" t="str">
        <x:v>1</x:v>
      </x:c>
      <x:c r="D2" s="12" t="str">
        <x:v>reaction</x:v>
      </x:c>
      <x:c r="E2" s="12" t="str">
        <x:v>Counter for 4 damage after blocking. Costs 0 if it is this equipment’s first Counter of the battle.</x:v>
      </x:c>
      <x:c r="F2" s="12" t="str">
        <x:v>After this survivor blocks or prevents damage, Counter for 4 damage. If firstCounterUsed[beaconGuard] is false this battle, pay 0 and then set it true. Chosen ally gains Guarded 1 after this resolves.</x:v>
      </x:c>
      <x:c r="G2" s="12" t="str">
        <x:v>YES</x:v>
      </x:c>
      <x:c r="H2" s="12" t="str">
        <x:v>countsAsCounter True, firstCounterFree True, counterFreeScope perBattlePerEquipment</x:v>
      </x:c>
    </x:row>
    <x:row r="3" ht="26.399999618530273" hidden="0" customHeight="1">
      <x:c r="A3" s="12" t="str">
        <x:v>Beast Knuckle</x:v>
      </x:c>
      <x:c r="B3" s="12" t="str">
        <x:v>Beast Knuckle — Technique</x:v>
      </x:c>
      <x:c r="C3" s="12" t="str">
        <x:v>2</x:v>
      </x:c>
      <x:c r="D3" s="12" t="str">
        <x:v>skill</x:v>
      </x:c>
      <x:c r="E3" s="12" t="str">
        <x:v>Bait a close strike; after blocking, Counter with +2 damage. Also gain 1 block.</x:v>
      </x:c>
      <x:c r="F3" s="12" t="str">
        <x:v>Bait a close strike; after blocking, Counter with +2 damage. Gain 1 block. If you play a third attack this round, gain Panic 1.</x:v>
      </x:c>
      <x:c r="G3" s="12" t="str">
        <x:v>YES</x:v>
      </x:c>
      <x:c r="H3" s="12" t="str"/>
    </x:row>
    <x:row r="4" ht="26.399999618530273" hidden="0" customHeight="1">
      <x:c r="A4" s="12" t="str">
        <x:v>Beast Knuckle</x:v>
      </x:c>
      <x:c r="B4" s="12" t="str">
        <x:v>Beast Knuckle — Payoff</x:v>
      </x:c>
      <x:c r="C4" s="12" t="str">
        <x:v>2</x:v>
      </x:c>
      <x:c r="D4" s="12" t="str">
        <x:v>reaction</x:v>
      </x:c>
      <x:c r="E4" s="12" t="str">
        <x:v>Deal 7 damage and 1 break damage. If this breaks a weak point, resolve Bleed 1 and the frenzyCheck rider.</x:v>
      </x:c>
      <x:c r="F4" s="12" t="str">
        <x:v>Deal 7 damage and 1 break damage. If the weak point breaks, apply Bleed 1 and resolve: If you play a third attack this round, gain Panic 1.</x:v>
      </x:c>
      <x:c r="G4" s="12" t="str">
        <x:v>YES</x:v>
      </x:c>
      <x:c r="H4" s="12" t="str">
        <x:v>countsAsCounter True, firstCounterFree True</x:v>
      </x:c>
    </x:row>
    <x:row r="5" ht="26.399999618530273" hidden="0" customHeight="1">
      <x:c r="A5" s="12" t="str">
        <x:v>Black Blade</x:v>
      </x:c>
      <x:c r="B5" s="12" t="str">
        <x:v>Black Blade — Technique</x:v>
      </x:c>
      <x:c r="C5" s="12" t="str">
        <x:v>1</x:v>
      </x:c>
      <x:c r="D5" s="12" t="str">
        <x:v>skill</x:v>
      </x:c>
      <x:c r="E5" s="12" t="str">
        <x:v>Set a parry line; your next Counter with this equipment costs 0 if it is the first Counter this battle. Also gain 5 block.</x:v>
      </x:c>
      <x:c r="F5" s="12" t="str">
        <x:v>Set a parry line; your next Counter with this equipment costs 0 if it is the first Counter this battle. Gain 5 block. If this is your first card this turn, reduce its cost by 1, minimum 0.</x:v>
      </x:c>
      <x:c r="G5" s="12" t="str">
        <x:v>YES</x:v>
      </x:c>
      <x:c r="H5" s="12" t="str"/>
    </x:row>
    <x:row r="6" ht="26.399999618530273" hidden="0" customHeight="1">
      <x:c r="A6" s="12" t="str">
        <x:v>Black Blade</x:v>
      </x:c>
      <x:c r="B6" s="12" t="str">
        <x:v>Black Blade — Payoff</x:v>
      </x:c>
      <x:c r="C6" s="12" t="str">
        <x:v>2</x:v>
      </x:c>
      <x:c r="D6" s="12" t="str">
        <x:v>reaction</x:v>
      </x:c>
      <x:c r="E6" s="12" t="str">
        <x:v>Deal 7 damage and 5 break damage. If this breaks a weak point, resolve Poison 2 and the tempo rider.</x:v>
      </x:c>
      <x:c r="F6" s="12" t="str">
        <x:v>Deal 7 damage and 5 break damage. If the weak point breaks, apply Poison 2 and resolve: If this is your first card this turn, reduce its cost by 1, minimum 0.</x:v>
      </x:c>
      <x:c r="G6" s="12" t="str">
        <x:v>YES</x:v>
      </x:c>
      <x:c r="H6" s="12" t="str">
        <x:v>countsAsCounter True, firstCounterFree True</x:v>
      </x:c>
    </x:row>
    <x:row r="7" ht="39.599998474121094" hidden="0" customHeight="1">
      <x:c r="A7" s="12" t="str">
        <x:v>Blast Guard</x:v>
      </x:c>
      <x:c r="B7" s="12" t="str">
        <x:v>Blast Guard — Answering Bash</x:v>
      </x:c>
      <x:c r="C7" s="12" t="str">
        <x:v>1</x:v>
      </x:c>
      <x:c r="D7" s="12" t="str">
        <x:v>reaction</x:v>
      </x:c>
      <x:c r="E7" s="12" t="str">
        <x:v>Counter for 4 damage after blocking. Costs 0 if it is this equipment’s first Counter of the battle.</x:v>
      </x:c>
      <x:c r="F7" s="12" t="str">
        <x:v>After this survivor blocks or prevents damage, Counter for 4 damage. If firstCounterUsed[blastGuard] is false this battle, pay 0 and then set it true. If you play a third attack this round, gain Panic 1.</x:v>
      </x:c>
      <x:c r="G7" s="12" t="str">
        <x:v>YES</x:v>
      </x:c>
      <x:c r="H7" s="12" t="str">
        <x:v>countsAsCounter True, firstCounterFree True, counterFreeScope perBattlePerEquipment</x:v>
      </x:c>
    </x:row>
    <x:row r="8" ht="26.399999618530273" hidden="0" customHeight="1">
      <x:c r="A8" s="12" t="str">
        <x:v>Blast Blade</x:v>
      </x:c>
      <x:c r="B8" s="12" t="str">
        <x:v>Blast Blade — Technique</x:v>
      </x:c>
      <x:c r="C8" s="12" t="str">
        <x:v>1</x:v>
      </x:c>
      <x:c r="D8" s="12" t="str">
        <x:v>skill</x:v>
      </x:c>
      <x:c r="E8" s="12" t="str">
        <x:v>Set a parry line; your next Counter with this equipment costs 0 if it is the first Counter this battle. Also gain 4 block.</x:v>
      </x:c>
      <x:c r="F8" s="12" t="str">
        <x:v>Set a parry line; your next Counter with this equipment costs 0 if it is the first Counter this battle. Gain 4 block. If the quarry is below half HP, add +1 break damage.</x:v>
      </x:c>
      <x:c r="G8" s="12" t="str">
        <x:v>YES</x:v>
      </x:c>
      <x:c r="H8" s="12" t="str"/>
    </x:row>
    <x:row r="9" ht="26.399999618530273" hidden="0" customHeight="1">
      <x:c r="A9" s="12" t="str">
        <x:v>Blast Blade</x:v>
      </x:c>
      <x:c r="B9" s="12" t="str">
        <x:v>Blast Blade — Payoff</x:v>
      </x:c>
      <x:c r="C9" s="12" t="str">
        <x:v>2</x:v>
      </x:c>
      <x:c r="D9" s="12" t="str">
        <x:v>reaction</x:v>
      </x:c>
      <x:c r="E9" s="12" t="str">
        <x:v>Deal 9 damage and 4 break damage. If this breaks a weak point, resolve Burn 2 and the bloodied rider.</x:v>
      </x:c>
      <x:c r="F9" s="12" t="str">
        <x:v>Deal 9 damage and 4 break damage. If the weak point breaks, apply Burn 2 and resolve: If the quarry is below half HP, add +1 break damage.</x:v>
      </x:c>
      <x:c r="G9" s="12" t="str">
        <x:v>YES</x:v>
      </x:c>
      <x:c r="H9" s="12" t="str">
        <x:v>countsAsCounter True, firstCounterFree True</x:v>
      </x:c>
    </x:row>
    <x:row r="10" ht="26.399999618530273" hidden="0" customHeight="1">
      <x:c r="A10" s="12" t="str">
        <x:v>Bone Blade</x:v>
      </x:c>
      <x:c r="B10" s="12" t="str">
        <x:v>Bone Blade — Technique</x:v>
      </x:c>
      <x:c r="C10" s="12" t="str">
        <x:v>2</x:v>
      </x:c>
      <x:c r="D10" s="12" t="str">
        <x:v>skill</x:v>
      </x:c>
      <x:c r="E10" s="12" t="str">
        <x:v>Set a parry line; your next Counter with this equipment costs 0 if it is the first Counter this battle. Also gain 1 block.</x:v>
      </x:c>
      <x:c r="F10" s="12" t="str">
        <x:v>Set a parry line; your next Counter with this equipment costs 0 if it is the first Counter this battle. Gain 1 block. If this is the only card you play this turn, gain +2 block.</x:v>
      </x:c>
      <x:c r="G10" s="12" t="str">
        <x:v>YES</x:v>
      </x:c>
      <x:c r="H10" s="12" t="str"/>
    </x:row>
    <x:row r="11" ht="26.399999618530273" hidden="0" customHeight="1">
      <x:c r="A11" s="12" t="str">
        <x:v>Bone Blade</x:v>
      </x:c>
      <x:c r="B11" s="12" t="str">
        <x:v>Bone Blade — Payoff</x:v>
      </x:c>
      <x:c r="C11" s="12" t="str">
        <x:v>2</x:v>
      </x:c>
      <x:c r="D11" s="12" t="str">
        <x:v>reaction</x:v>
      </x:c>
      <x:c r="E11" s="12" t="str">
        <x:v>Deal 6 damage and 2 break damage. If this breaks a weak point, resolve Stagger 1 and the stance rider.</x:v>
      </x:c>
      <x:c r="F11" s="12" t="str">
        <x:v>Deal 6 damage and 2 break damage. If the weak point breaks, apply Stagger 1 and resolve: If this is the only card you play this turn, gain +2 block.</x:v>
      </x:c>
      <x:c r="G11" s="12" t="str">
        <x:v>YES</x:v>
      </x:c>
      <x:c r="H11" s="12" t="str">
        <x:v>countsAsCounter True, firstCounterFree True</x:v>
      </x:c>
    </x:row>
    <x:row r="12" ht="26.399999618530273" hidden="0" customHeight="1">
      <x:c r="A12" s="12" t="str">
        <x:v>Bone Blade (Broken)</x:v>
      </x:c>
      <x:c r="B12" s="12" t="str">
        <x:v>Bone Blade (Broken) — Technique</x:v>
      </x:c>
      <x:c r="C12" s="12" t="str">
        <x:v>1</x:v>
      </x:c>
      <x:c r="D12" s="12" t="str">
        <x:v>skill</x:v>
      </x:c>
      <x:c r="E12" s="12" t="str">
        <x:v>Set a parry line; your next Counter with this equipment costs 0 if it is the first Counter this battle. Also gain 2 block.</x:v>
      </x:c>
      <x:c r="F12" s="12" t="str">
        <x:v>Set a parry line; your next Counter with this equipment costs 0 if it is the first Counter this battle. Gain 2 block. If played after blocking, your next Counter gains +2 damage.</x:v>
      </x:c>
      <x:c r="G12" s="12" t="str">
        <x:v>YES</x:v>
      </x:c>
      <x:c r="H12" s="12" t="str"/>
    </x:row>
    <x:row r="13" ht="26.399999618530273" hidden="0" customHeight="1">
      <x:c r="A13" s="12" t="str">
        <x:v>Bone Blade (Broken)</x:v>
      </x:c>
      <x:c r="B13" s="12" t="str">
        <x:v>Bone Blade (Broken) — Payoff</x:v>
      </x:c>
      <x:c r="C13" s="12" t="str">
        <x:v>3</x:v>
      </x:c>
      <x:c r="D13" s="12" t="str">
        <x:v>reaction</x:v>
      </x:c>
      <x:c r="E13" s="12" t="str">
        <x:v>Deal 6 damage and 2 break damage. If this breaks a weak point, resolve Exposed 1 and the counterReady rider.</x:v>
      </x:c>
      <x:c r="F13" s="12" t="str">
        <x:v>Deal 6 damage and 2 break damage. If the weak point breaks, apply Exposed 1 and resolve: If played after blocking, your next Counter gains +2 damage.</x:v>
      </x:c>
      <x:c r="G13" s="12" t="str">
        <x:v>YES</x:v>
      </x:c>
      <x:c r="H13" s="12" t="str">
        <x:v>countsAsCounter True, firstCounterFree True</x:v>
      </x:c>
    </x:row>
    <x:row r="14" ht="26.399999618530273" hidden="0" customHeight="1">
      <x:c r="A14" s="12" t="str">
        <x:v>Bone Club</x:v>
      </x:c>
      <x:c r="B14" s="12" t="str">
        <x:v>Bone Club — Technique</x:v>
      </x:c>
      <x:c r="C14" s="12" t="str">
        <x:v>2</x:v>
      </x:c>
      <x:c r="D14" s="12" t="str">
        <x:v>skill</x:v>
      </x:c>
      <x:c r="E14" s="12" t="str">
        <x:v>Rattle the quarry; apply Stagger 2 and gain Guarded 1. Also gain 3 block.</x:v>
      </x:c>
      <x:c r="F14" s="12" t="str">
        <x:v>Rattle the quarry; apply Stagger 2 and gain Guarded 1. Gain 3 block. If you play a third attack this round, gain Panic 1.</x:v>
      </x:c>
      <x:c r="G14" s="12" t="str">
        <x:v>YES</x:v>
      </x:c>
      <x:c r="H14" s="12" t="str"/>
    </x:row>
    <x:row r="15" ht="26.399999618530273" hidden="0" customHeight="1">
      <x:c r="A15" s="12" t="str">
        <x:v>Bone Club</x:v>
      </x:c>
      <x:c r="B15" s="12" t="str">
        <x:v>Bone Club — Payoff</x:v>
      </x:c>
      <x:c r="C15" s="12" t="str">
        <x:v>2</x:v>
      </x:c>
      <x:c r="D15" s="12" t="str">
        <x:v>reaction</x:v>
      </x:c>
      <x:c r="E15" s="12" t="str">
        <x:v>Deal 8 damage and 5 break damage. If this breaks a weak point, resolve Marked 2 and the frenzyCheck rider.</x:v>
      </x:c>
      <x:c r="F15" s="12" t="str">
        <x:v>Deal 8 damage and 5 break damage. If the weak point breaks, apply Marked 2 and resolve: If you play a third attack this round, gain Panic 1.</x:v>
      </x:c>
      <x:c r="G15" s="12" t="str">
        <x:v>YES</x:v>
      </x:c>
      <x:c r="H15" s="12" t="str">
        <x:v>countsAsCounter True, firstCounterFree True</x:v>
      </x:c>
    </x:row>
    <x:row r="16" ht="26.399999618530273" hidden="0" customHeight="1">
      <x:c r="A16" s="12" t="str">
        <x:v>Calcified Gramber Blade</x:v>
      </x:c>
      <x:c r="B16" s="12" t="str">
        <x:v>Calcified Gramber Blade — Technique</x:v>
      </x:c>
      <x:c r="C16" s="12" t="str">
        <x:v>2</x:v>
      </x:c>
      <x:c r="D16" s="12" t="str">
        <x:v>skill</x:v>
      </x:c>
      <x:c r="E16" s="12" t="str">
        <x:v>Set a parry line; your next Counter with this equipment costs 0 if it is the first Counter this battle. Also gain 4 block.</x:v>
      </x:c>
      <x:c r="F16" s="12" t="str">
        <x:v>Set a parry line; your next Counter with this equipment costs 0 if it is the first Counter this battle. Gain 4 block. You may gain Panic 1 to increase the listed number by 2.</x:v>
      </x:c>
      <x:c r="G16" s="12" t="str">
        <x:v>YES</x:v>
      </x:c>
      <x:c r="H16" s="12" t="str"/>
    </x:row>
    <x:row r="17" ht="26.399999618530273" hidden="0" customHeight="1">
      <x:c r="A17" s="12" t="str">
        <x:v>Calcified Gramber Blade</x:v>
      </x:c>
      <x:c r="B17" s="12" t="str">
        <x:v>Calcified Gramber Blade — Payoff</x:v>
      </x:c>
      <x:c r="C17" s="12" t="str">
        <x:v>2</x:v>
      </x:c>
      <x:c r="D17" s="12" t="str">
        <x:v>reaction</x:v>
      </x:c>
      <x:c r="E17" s="12" t="str">
        <x:v>Deal 9 damage and 4 break damage. If this breaks a weak point, resolve Poison 2 and the panicBrake rider.</x:v>
      </x:c>
      <x:c r="F17" s="12" t="str">
        <x:v>Deal 9 damage and 4 break damage. If the weak point breaks, apply Poison 2 and resolve: You may gain Panic 1 to increase the listed number by 2.</x:v>
      </x:c>
      <x:c r="G17" s="12" t="str">
        <x:v>YES</x:v>
      </x:c>
      <x:c r="H17" s="12" t="str">
        <x:v>countsAsCounter True, firstCounterFree True</x:v>
      </x:c>
    </x:row>
    <x:row r="18" ht="39.599998474121094" hidden="0" customHeight="1">
      <x:c r="A18" s="12" t="str">
        <x:v>Feather Guard</x:v>
      </x:c>
      <x:c r="B18" s="12" t="str">
        <x:v>Feather Guard — Answering Bash</x:v>
      </x:c>
      <x:c r="C18" s="12" t="str">
        <x:v>1</x:v>
      </x:c>
      <x:c r="D18" s="12" t="str">
        <x:v>reaction</x:v>
      </x:c>
      <x:c r="E18" s="12" t="str">
        <x:v>Counter for 4 damage after blocking. Costs 0 if it is this equipment’s first Counter of the battle.</x:v>
      </x:c>
      <x:c r="F18" s="12" t="str">
        <x:v>After this survivor blocks or prevents damage, Counter for 4 damage. If firstCounterUsed[featherGuard] is false this battle, pay 0 and then set it true. If you play a third attack this round, gain Panic 1.</x:v>
      </x:c>
      <x:c r="G18" s="12" t="str">
        <x:v>YES</x:v>
      </x:c>
      <x:c r="H18" s="12" t="str">
        <x:v>countsAsCounter True, firstCounterFree True, counterFreeScope perBattlePerEquipment</x:v>
      </x:c>
    </x:row>
    <x:row r="19" ht="26.399999618530273" hidden="0" customHeight="1">
      <x:c r="A19" s="12" t="str">
        <x:v>Gloom Katana</x:v>
      </x:c>
      <x:c r="B19" s="12" t="str">
        <x:v>Gloom Katana — Technique</x:v>
      </x:c>
      <x:c r="C19" s="12" t="str">
        <x:v>1</x:v>
      </x:c>
      <x:c r="D19" s="12" t="str">
        <x:v>skill</x:v>
      </x:c>
      <x:c r="E19" s="12" t="str">
        <x:v>Create an opening tied to this equipment's source and keywords. Also gain 3 block.</x:v>
      </x:c>
      <x:c r="F19" s="12" t="str">
        <x:v>Create an opening tied to this equipment's source and keywords. Gain 3 block. If you have no Bleed, Poison or Burn, add +1 to all listed values.</x:v>
      </x:c>
      <x:c r="G19" s="12" t="str">
        <x:v>YES</x:v>
      </x:c>
      <x:c r="H19" s="12" t="str"/>
    </x:row>
    <x:row r="20" ht="26.399999618530273" hidden="0" customHeight="1">
      <x:c r="A20" s="12" t="str">
        <x:v>Gloom Katana</x:v>
      </x:c>
      <x:c r="B20" s="12" t="str">
        <x:v>Gloom Katana — Payoff</x:v>
      </x:c>
      <x:c r="C20" s="12" t="str">
        <x:v>2</x:v>
      </x:c>
      <x:c r="D20" s="12" t="str">
        <x:v>reaction</x:v>
      </x:c>
      <x:c r="E20" s="12" t="str">
        <x:v>Deal 8 damage and 3 break damage. If this breaks a weak point, resolve Burn 1 and the cleanHands rider.</x:v>
      </x:c>
      <x:c r="F20" s="12" t="str">
        <x:v>Deal 8 damage and 3 break damage. If the weak point breaks, apply Burn 1 and resolve: If you have no Bleed, Poison or Burn, add +1 to all listed values.</x:v>
      </x:c>
      <x:c r="G20" s="12" t="str">
        <x:v>YES</x:v>
      </x:c>
      <x:c r="H20" s="12" t="str">
        <x:v>countsAsCounter True, firstCounterFree True</x:v>
      </x:c>
    </x:row>
    <x:row r="21" ht="26.399999618530273" hidden="0" customHeight="1">
      <x:c r="A21" s="12" t="str">
        <x:v>Gramber Blade</x:v>
      </x:c>
      <x:c r="B21" s="12" t="str">
        <x:v>Gramber Blade — Technique</x:v>
      </x:c>
      <x:c r="C21" s="12" t="str">
        <x:v>2</x:v>
      </x:c>
      <x:c r="D21" s="12" t="str">
        <x:v>skill</x:v>
      </x:c>
      <x:c r="E21" s="12" t="str">
        <x:v>Set a parry line; your next Counter with this equipment costs 0 if it is the first Counter this battle. Also gain 4 block.</x:v>
      </x:c>
      <x:c r="F21" s="12" t="str">
        <x:v>Set a parry line; your next Counter with this equipment costs 0 if it is the first Counter this battle. Gain 4 block. After use, Exhaust this equipment until the next monster turn.</x:v>
      </x:c>
      <x:c r="G21" s="12" t="str">
        <x:v>YES</x:v>
      </x:c>
      <x:c r="H21" s="12" t="str"/>
    </x:row>
    <x:row r="22" ht="26.399999618530273" hidden="0" customHeight="1">
      <x:c r="A22" s="12" t="str">
        <x:v>Gramber Blade</x:v>
      </x:c>
      <x:c r="B22" s="12" t="str">
        <x:v>Gramber Blade — Payoff</x:v>
      </x:c>
      <x:c r="C22" s="12" t="str">
        <x:v>2</x:v>
      </x:c>
      <x:c r="D22" s="12" t="str">
        <x:v>reaction</x:v>
      </x:c>
      <x:c r="E22" s="12" t="str">
        <x:v>Deal 9 damage and 4 break damage. If this breaks a weak point, resolve Blind 2 and the exhaust rider.</x:v>
      </x:c>
      <x:c r="F22" s="12" t="str">
        <x:v>Deal 9 damage and 4 break damage. If the weak point breaks, apply Blind 2 and resolve: After use, Exhaust this equipment until the next monster turn.</x:v>
      </x:c>
      <x:c r="G22" s="12" t="str">
        <x:v>YES</x:v>
      </x:c>
      <x:c r="H22" s="12" t="str">
        <x:v>countsAsCounter True, firstCounterFree True</x:v>
      </x:c>
    </x:row>
    <x:row r="23" ht="26.399999618530273" hidden="0" customHeight="1">
      <x:c r="A23" s="12" t="str">
        <x:v>Hollow Blade</x:v>
      </x:c>
      <x:c r="B23" s="12" t="str">
        <x:v>Hollow Blade — Technique</x:v>
      </x:c>
      <x:c r="C23" s="12" t="str">
        <x:v>2</x:v>
      </x:c>
      <x:c r="D23" s="12" t="str">
        <x:v>skill</x:v>
      </x:c>
      <x:c r="E23" s="12" t="str">
        <x:v>Set a parry line; your next Counter with this equipment costs 0 if it is the first Counter this battle. Also gain 2 block.</x:v>
      </x:c>
      <x:c r="F23" s="12" t="str">
        <x:v>Set a parry line; your next Counter with this equipment costs 0 if it is the first Counter this battle. Gain 2 block. If you have any wound, add +1 damage but gain Panic 1.</x:v>
      </x:c>
      <x:c r="G23" s="12" t="str">
        <x:v>YES</x:v>
      </x:c>
      <x:c r="H23" s="12" t="str"/>
    </x:row>
    <x:row r="24" ht="26.399999618530273" hidden="0" customHeight="1">
      <x:c r="A24" s="12" t="str">
        <x:v>Hollow Blade</x:v>
      </x:c>
      <x:c r="B24" s="12" t="str">
        <x:v>Hollow Blade — Payoff</x:v>
      </x:c>
      <x:c r="C24" s="12" t="str">
        <x:v>2</x:v>
      </x:c>
      <x:c r="D24" s="12" t="str">
        <x:v>reaction</x:v>
      </x:c>
      <x:c r="E24" s="12" t="str">
        <x:v>Deal 6 damage and 3 break damage. If this breaks a weak point, resolve Doom 1 and the wounded rider.</x:v>
      </x:c>
      <x:c r="F24" s="12" t="str">
        <x:v>Deal 6 damage and 3 break damage. If the weak point breaks, apply Doom 1 and resolve: If you have any wound, add +1 damage but gain Panic 1.</x:v>
      </x:c>
      <x:c r="G24" s="12" t="str">
        <x:v>YES</x:v>
      </x:c>
      <x:c r="H24" s="12" t="str">
        <x:v>countsAsCounter True, firstCounterFree True</x:v>
      </x:c>
    </x:row>
    <x:row r="25" ht="39.599998474121094" hidden="0" customHeight="1">
      <x:c r="A25" s="12" t="str">
        <x:v>Hollow Blade (Broken)</x:v>
      </x:c>
      <x:c r="B25" s="12" t="str">
        <x:v>Hollow Blade (Broken) — Technique</x:v>
      </x:c>
      <x:c r="C25" s="12" t="str">
        <x:v>1</x:v>
      </x:c>
      <x:c r="D25" s="12" t="str">
        <x:v>skill</x:v>
      </x:c>
      <x:c r="E25" s="12" t="str">
        <x:v>Set a parry line; your next Counter with this equipment costs 0 if it is the first Counter this battle. Also gain 3 block.</x:v>
      </x:c>
      <x:c r="F25" s="12" t="str">
        <x:v>Set a parry line; your next Counter with this equipment costs 0 if it is the first Counter this battle. Gain 3 block. If this breaks a weak point, improve harvest quality by one step unless it is already Clean.</x:v>
      </x:c>
      <x:c r="G25" s="12" t="str">
        <x:v>YES</x:v>
      </x:c>
      <x:c r="H25" s="12" t="str"/>
    </x:row>
    <x:row r="26" ht="26.399999618530273" hidden="0" customHeight="1">
      <x:c r="A26" s="12" t="str">
        <x:v>Hollow Blade (Broken)</x:v>
      </x:c>
      <x:c r="B26" s="12" t="str">
        <x:v>Hollow Blade (Broken) — Payoff</x:v>
      </x:c>
      <x:c r="C26" s="12" t="str">
        <x:v>3</x:v>
      </x:c>
      <x:c r="D26" s="12" t="str">
        <x:v>reaction</x:v>
      </x:c>
      <x:c r="E26" s="12" t="str">
        <x:v>Deal 6 damage and 3 break damage. If this breaks a weak point, resolve Doom 2 and the harvest rider.</x:v>
      </x:c>
      <x:c r="F26" s="12" t="str">
        <x:v>Deal 6 damage and 3 break damage. If the weak point breaks, apply Doom 2 and resolve: If this breaks a weak point, improve harvest quality by one step unless it is already Clean.</x:v>
      </x:c>
      <x:c r="G26" s="12" t="str">
        <x:v>YES</x:v>
      </x:c>
      <x:c r="H26" s="12" t="str">
        <x:v>countsAsCounter True, firstCounterFree True</x:v>
      </x:c>
    </x:row>
    <x:row r="27" ht="26.399999618530273" hidden="0" customHeight="1">
      <x:c r="A27" s="12" t="str">
        <x:v>Ink Blade</x:v>
      </x:c>
      <x:c r="B27" s="12" t="str">
        <x:v>Ink Blade — Technique</x:v>
      </x:c>
      <x:c r="C27" s="12" t="str">
        <x:v>1</x:v>
      </x:c>
      <x:c r="D27" s="12" t="str">
        <x:v>skill</x:v>
      </x:c>
      <x:c r="E27" s="12" t="str">
        <x:v>Set a parry line; your next Counter with this equipment costs 0 if it is the first Counter this battle. Also gain 2 block.</x:v>
      </x:c>
      <x:c r="F27" s="12" t="str">
        <x:v>Set a parry line; your next Counter with this equipment costs 0 if it is the first Counter this battle. Gain 2 block. If you deal no HP damage, gain +2 break damage.</x:v>
      </x:c>
      <x:c r="G27" s="12" t="str">
        <x:v>YES</x:v>
      </x:c>
      <x:c r="H27" s="12" t="str"/>
    </x:row>
    <x:row r="28" ht="26.399999618530273" hidden="0" customHeight="1">
      <x:c r="A28" s="12" t="str">
        <x:v>Ink Blade</x:v>
      </x:c>
      <x:c r="B28" s="12" t="str">
        <x:v>Ink Blade — Payoff</x:v>
      </x:c>
      <x:c r="C28" s="12" t="str">
        <x:v>2</x:v>
      </x:c>
      <x:c r="D28" s="12" t="str">
        <x:v>reaction</x:v>
      </x:c>
      <x:c r="E28" s="12" t="str">
        <x:v>Deal 6 damage and 2 break damage. If this breaks a weak point, resolve Snared 1 and the careful rider.</x:v>
      </x:c>
      <x:c r="F28" s="12" t="str">
        <x:v>Deal 6 damage and 2 break damage. If the weak point breaks, apply Snared 1 and resolve: If you deal no HP damage, gain +2 break damage.</x:v>
      </x:c>
      <x:c r="G28" s="12" t="str">
        <x:v>YES</x:v>
      </x:c>
      <x:c r="H28" s="12" t="str">
        <x:v>countsAsCounter True, firstCounterFree True</x:v>
      </x:c>
    </x:row>
    <x:row r="29" ht="26.399999618530273" hidden="0" customHeight="1">
      <x:c r="A29" s="12" t="str">
        <x:v>Knuckle Guard</x:v>
      </x:c>
      <x:c r="B29" s="12" t="str">
        <x:v>Knuckle Guard — Technique</x:v>
      </x:c>
      <x:c r="C29" s="12" t="str">
        <x:v>1</x:v>
      </x:c>
      <x:c r="D29" s="12" t="str">
        <x:v>skill</x:v>
      </x:c>
      <x:c r="E29" s="12" t="str">
        <x:v>Bait a close strike; after blocking, Counter with +2 damage. Also gain 3 block.</x:v>
      </x:c>
      <x:c r="F29" s="12" t="str">
        <x:v>Bait a close strike; after blocking, Counter with +2 damage. Gain 3 block. If this is your first card this turn, reduce its cost by 1, minimum 0.</x:v>
      </x:c>
      <x:c r="G29" s="12" t="str">
        <x:v>YES</x:v>
      </x:c>
      <x:c r="H29" s="12" t="str"/>
    </x:row>
    <x:row r="30" ht="26.399999618530273" hidden="0" customHeight="1">
      <x:c r="A30" s="12" t="str">
        <x:v>Knuckle Guard</x:v>
      </x:c>
      <x:c r="B30" s="12" t="str">
        <x:v>Knuckle Guard — Payoff</x:v>
      </x:c>
      <x:c r="C30" s="12" t="str">
        <x:v>2</x:v>
      </x:c>
      <x:c r="D30" s="12" t="str">
        <x:v>reaction</x:v>
      </x:c>
      <x:c r="E30" s="12" t="str">
        <x:v>Deal 5 damage and 2 break damage. If this breaks a weak point, resolve Bleed 1 and the tempo rider.</x:v>
      </x:c>
      <x:c r="F30" s="12" t="str">
        <x:v>Deal 5 damage and 2 break damage. If the weak point breaks, apply Bleed 1 and resolve: If this is your first card this turn, reduce its cost by 1, minimum 0.</x:v>
      </x:c>
      <x:c r="G30" s="12" t="str">
        <x:v>YES</x:v>
      </x:c>
      <x:c r="H30" s="12" t="str">
        <x:v>countsAsCounter True, firstCounterFree True</x:v>
      </x:c>
    </x:row>
    <x:row r="31" ht="26.399999618530273" hidden="0" customHeight="1">
      <x:c r="A31" s="12" t="str">
        <x:v>Lantern Blade</x:v>
      </x:c>
      <x:c r="B31" s="12" t="str">
        <x:v>Lantern Blade — Technique</x:v>
      </x:c>
      <x:c r="C31" s="12" t="str">
        <x:v>1</x:v>
      </x:c>
      <x:c r="D31" s="12" t="str">
        <x:v>skill</x:v>
      </x:c>
      <x:c r="E31" s="12" t="str">
        <x:v>Set a parry line; your next Counter with this equipment costs 0 if it is the first Counter this battle. Also gain 2 block.</x:v>
      </x:c>
      <x:c r="F31" s="12" t="str">
        <x:v>Set a parry line; your next Counter with this equipment costs 0 if it is the first Counter this battle. Gain 2 block. On a failed harvest, keep one common fallback material.</x:v>
      </x:c>
      <x:c r="G31" s="12" t="str">
        <x:v>YES</x:v>
      </x:c>
      <x:c r="H31" s="12" t="str"/>
    </x:row>
    <x:row r="32" ht="26.399999618530273" hidden="0" customHeight="1">
      <x:c r="A32" s="12" t="str">
        <x:v>Lantern Blade</x:v>
      </x:c>
      <x:c r="B32" s="12" t="str">
        <x:v>Lantern Blade — Payoff</x:v>
      </x:c>
      <x:c r="C32" s="12" t="str">
        <x:v>2</x:v>
      </x:c>
      <x:c r="D32" s="12" t="str">
        <x:v>reaction</x:v>
      </x:c>
      <x:c r="E32" s="12" t="str">
        <x:v>Deal 5 damage and 3 break damage. If this breaks a weak point, resolve Burn 1 and the salvage rider.</x:v>
      </x:c>
      <x:c r="F32" s="12" t="str">
        <x:v>Deal 5 damage and 3 break damage. If the weak point breaks, apply Burn 1 and resolve: On a failed harvest, keep one common fallback material.</x:v>
      </x:c>
      <x:c r="G32" s="12" t="str">
        <x:v>YES</x:v>
      </x:c>
      <x:c r="H32" s="12" t="str">
        <x:v>countsAsCounter True, firstCounterFree True</x:v>
      </x:c>
    </x:row>
    <x:row r="33" ht="26.399999618530273" hidden="0" customHeight="1">
      <x:c r="A33" s="12" t="str">
        <x:v>Monster Tooth Necklace</x:v>
      </x:c>
      <x:c r="B33" s="12" t="str">
        <x:v>Monster Tooth Necklace — Technique</x:v>
      </x:c>
      <x:c r="C33" s="12" t="str">
        <x:v>2</x:v>
      </x:c>
      <x:c r="D33" s="12" t="str">
        <x:v>skill</x:v>
      </x:c>
      <x:c r="E33" s="12" t="str">
        <x:v>Bait a close strike; after blocking, Counter with +2 damage. Also gain 1 block.</x:v>
      </x:c>
      <x:c r="F33" s="12" t="str">
        <x:v>Bait a close strike; after blocking, Counter with +2 damage. Gain 1 block. If used on a hunt node, also mark one gathered resource as confirmed.</x:v>
      </x:c>
      <x:c r="G33" s="12" t="str">
        <x:v>YES</x:v>
      </x:c>
      <x:c r="H33" s="12" t="str"/>
    </x:row>
    <x:row r="34" ht="26.399999618530273" hidden="0" customHeight="1">
      <x:c r="A34" s="12" t="str">
        <x:v>Monster Tooth Necklace</x:v>
      </x:c>
      <x:c r="B34" s="12" t="str">
        <x:v>Monster Tooth Necklace — Payoff</x:v>
      </x:c>
      <x:c r="C34" s="12" t="str">
        <x:v>2</x:v>
      </x:c>
      <x:c r="D34" s="12" t="str">
        <x:v>reaction</x:v>
      </x:c>
      <x:c r="E34" s="12" t="str">
        <x:v>Deal 5 damage and 1 break damage. If this breaks a weak point, resolve Bleed 1 and the retreat rider.</x:v>
      </x:c>
      <x:c r="F34" s="12" t="str">
        <x:v>Deal 5 damage and 1 break damage. If the weak point breaks, apply Bleed 1 and resolve: If used on a hunt node, also mark one gathered resource as confirmed.</x:v>
      </x:c>
      <x:c r="G34" s="12" t="str">
        <x:v>YES</x:v>
      </x:c>
      <x:c r="H34" s="12" t="str">
        <x:v>countsAsCounter True, firstCounterFree True</x:v>
      </x:c>
    </x:row>
    <x:row r="35" ht="39.599998474121094" hidden="0" customHeight="1">
      <x:c r="A35" s="12" t="str">
        <x:v>Oxidized Beacon Guard</x:v>
      </x:c>
      <x:c r="B35" s="12" t="str">
        <x:v>Oxidized Beacon Guard — Answering Bash</x:v>
      </x:c>
      <x:c r="C35" s="12" t="str">
        <x:v>1</x:v>
      </x:c>
      <x:c r="D35" s="12" t="str">
        <x:v>reaction</x:v>
      </x:c>
      <x:c r="E35" s="12" t="str">
        <x:v>Counter for 3 damage after blocking. Costs 0 if it is this equipment’s first Counter of the battle.</x:v>
      </x:c>
      <x:c r="F35" s="12" t="str">
        <x:v>After this survivor blocks or prevents damage, Counter for 3 damage. If firstCounterUsed[oxidizedBeaconGuard] is false this battle, pay 0 and then set it true. If a tell is Open, add +2 to the listed damage or block value.</x:v>
      </x:c>
      <x:c r="G35" s="12" t="str">
        <x:v>YES</x:v>
      </x:c>
      <x:c r="H35" s="12" t="str">
        <x:v>countsAsCounter True, firstCounterFree True, counterFreeScope perBattlePerEquipment</x:v>
      </x:c>
    </x:row>
    <x:row r="36" ht="26.399999618530273" hidden="0" customHeight="1">
      <x:c r="A36" s="12" t="str">
        <x:v>Oxidized Lantern Blade</x:v>
      </x:c>
      <x:c r="B36" s="12" t="str">
        <x:v>Oxidized Lantern Blade — Technique</x:v>
      </x:c>
      <x:c r="C36" s="12" t="str">
        <x:v>2</x:v>
      </x:c>
      <x:c r="D36" s="12" t="str">
        <x:v>skill</x:v>
      </x:c>
      <x:c r="E36" s="12" t="str">
        <x:v>Set a parry line; your next Counter with this equipment costs 0 if it is the first Counter this battle. Also gain 1 block.</x:v>
      </x:c>
      <x:c r="F36" s="12" t="str">
        <x:v>Set a parry line; your next Counter with this equipment costs 0 if it is the first Counter this battle. Gain 1 block. If you already played an attack this turn, add +1 damage or +1 block.</x:v>
      </x:c>
      <x:c r="G36" s="12" t="str">
        <x:v>YES</x:v>
      </x:c>
      <x:c r="H36" s="12" t="str"/>
    </x:row>
    <x:row r="37" ht="26.399999618530273" hidden="0" customHeight="1">
      <x:c r="A37" s="12" t="str">
        <x:v>Oxidized Lantern Blade</x:v>
      </x:c>
      <x:c r="B37" s="12" t="str">
        <x:v>Oxidized Lantern Blade — Payoff</x:v>
      </x:c>
      <x:c r="C37" s="12" t="str">
        <x:v>2</x:v>
      </x:c>
      <x:c r="D37" s="12" t="str">
        <x:v>reaction</x:v>
      </x:c>
      <x:c r="E37" s="12" t="str">
        <x:v>Deal 6 damage and 2 break damage. If this breaks a weak point, resolve Snared 1 and the followUp rider.</x:v>
      </x:c>
      <x:c r="F37" s="12" t="str">
        <x:v>Deal 6 damage and 2 break damage. If the weak point breaks, apply Snared 1 and resolve: If you already played an attack this turn, add +1 damage or +1 block.</x:v>
      </x:c>
      <x:c r="G37" s="12" t="str">
        <x:v>YES</x:v>
      </x:c>
      <x:c r="H37" s="12" t="str">
        <x:v>countsAsCounter True, firstCounterFree True</x:v>
      </x:c>
    </x:row>
    <x:row r="38" ht="26.399999618530273" hidden="0" customHeight="1">
      <x:c r="A38" s="12" t="str">
        <x:v>Rib Blade</x:v>
      </x:c>
      <x:c r="B38" s="12" t="str">
        <x:v>Rib Blade — Technique</x:v>
      </x:c>
      <x:c r="C38" s="12" t="str">
        <x:v>2</x:v>
      </x:c>
      <x:c r="D38" s="12" t="str">
        <x:v>skill</x:v>
      </x:c>
      <x:c r="E38" s="12" t="str">
        <x:v>Set a parry line; your next Counter with this equipment costs 0 if it is the first Counter this battle. Also gain 4 block.</x:v>
      </x:c>
      <x:c r="F38" s="12" t="str">
        <x:v>Set a parry line; your next Counter with this equipment costs 0 if it is the first Counter this battle. Gain 4 block. If this is the only card you play this turn, gain +2 block.</x:v>
      </x:c>
      <x:c r="G38" s="12" t="str">
        <x:v>YES</x:v>
      </x:c>
      <x:c r="H38" s="12" t="str"/>
    </x:row>
    <x:row r="39" ht="26.399999618530273" hidden="0" customHeight="1">
      <x:c r="A39" s="12" t="str">
        <x:v>Rib Blade</x:v>
      </x:c>
      <x:c r="B39" s="12" t="str">
        <x:v>Rib Blade — Payoff</x:v>
      </x:c>
      <x:c r="C39" s="12" t="str">
        <x:v>2</x:v>
      </x:c>
      <x:c r="D39" s="12" t="str">
        <x:v>reaction</x:v>
      </x:c>
      <x:c r="E39" s="12" t="str">
        <x:v>Deal 7 damage and 4 break damage. If this breaks a weak point, resolve Poison 2 and the stance rider.</x:v>
      </x:c>
      <x:c r="F39" s="12" t="str">
        <x:v>Deal 7 damage and 4 break damage. If the weak point breaks, apply Poison 2 and resolve: If this is the only card you play this turn, gain +2 block.</x:v>
      </x:c>
      <x:c r="G39" s="12" t="str">
        <x:v>YES</x:v>
      </x:c>
      <x:c r="H39" s="12" t="str">
        <x:v>countsAsCounter True, firstCounterFree True</x:v>
      </x:c>
    </x:row>
    <x:row r="40" ht="39.599998474121094" hidden="0" customHeight="1">
      <x:c r="A40" s="12" t="str">
        <x:v>Round Hide Guard</x:v>
      </x:c>
      <x:c r="B40" s="12" t="str">
        <x:v>Round Hide Guard — Answering Bash</x:v>
      </x:c>
      <x:c r="C40" s="12" t="str">
        <x:v>1</x:v>
      </x:c>
      <x:c r="D40" s="12" t="str">
        <x:v>reaction</x:v>
      </x:c>
      <x:c r="E40" s="12" t="str">
        <x:v>Counter for 3 damage after blocking. Costs 0 if it is this equipment’s first Counter of the battle.</x:v>
      </x:c>
      <x:c r="F40" s="12" t="str">
        <x:v>After this survivor blocks or prevents damage, Counter for 3 damage. If firstCounterUsed[roundHideGuard] is false this battle, pay 0 and then set it true. On a failed harvest, keep one common fallback material.</x:v>
      </x:c>
      <x:c r="G40" s="12" t="str">
        <x:v>YES</x:v>
      </x:c>
      <x:c r="H40" s="12" t="str">
        <x:v>countsAsCounter True, firstCounterFree True, counterFreeScope perBattlePerEquipment</x:v>
      </x:c>
    </x:row>
    <x:row r="41" ht="26.399999618530273" hidden="0" customHeight="1">
      <x:c r="A41" s="12" t="str">
        <x:v>Scoopy Club</x:v>
      </x:c>
      <x:c r="B41" s="12" t="str">
        <x:v>Scoopy Club — Technique</x:v>
      </x:c>
      <x:c r="C41" s="12" t="str">
        <x:v>2</x:v>
      </x:c>
      <x:c r="D41" s="12" t="str">
        <x:v>skill</x:v>
      </x:c>
      <x:c r="E41" s="12" t="str">
        <x:v>Rattle the quarry; apply Stagger 2 and gain Guarded 1. Also gain 3 block.</x:v>
      </x:c>
      <x:c r="F41" s="12" t="str">
        <x:v>Rattle the quarry; apply Stagger 2 and gain Guarded 1. Gain 3 block. If you have any wound, add +1 damage but gain Panic 1.</x:v>
      </x:c>
      <x:c r="G41" s="12" t="str">
        <x:v>YES</x:v>
      </x:c>
      <x:c r="H41" s="12" t="str"/>
    </x:row>
    <x:row r="42" ht="26.399999618530273" hidden="0" customHeight="1">
      <x:c r="A42" s="12" t="str">
        <x:v>Scoopy Club</x:v>
      </x:c>
      <x:c r="B42" s="12" t="str">
        <x:v>Scoopy Club — Payoff</x:v>
      </x:c>
      <x:c r="C42" s="12" t="str">
        <x:v>2</x:v>
      </x:c>
      <x:c r="D42" s="12" t="str">
        <x:v>reaction</x:v>
      </x:c>
      <x:c r="E42" s="12" t="str">
        <x:v>Deal 6 damage and 5 break damage. If this breaks a weak point, resolve Poison 2 and the wounded rider.</x:v>
      </x:c>
      <x:c r="F42" s="12" t="str">
        <x:v>Deal 6 damage and 5 break damage. If the weak point breaks, apply Poison 2 and resolve: If you have any wound, add +1 damage but gain Panic 1.</x:v>
      </x:c>
      <x:c r="G42" s="12" t="str">
        <x:v>YES</x:v>
      </x:c>
      <x:c r="H42" s="12" t="str">
        <x:v>countsAsCounter True, firstCounterFree True</x:v>
      </x:c>
    </x:row>
    <x:row r="43" ht="39.599998474121094" hidden="0" customHeight="1">
      <x:c r="A43" s="12" t="str">
        <x:v>Scrap Guard</x:v>
      </x:c>
      <x:c r="B43" s="12" t="str">
        <x:v>Scrap Guard — Answering Bash</x:v>
      </x:c>
      <x:c r="C43" s="12" t="str">
        <x:v>1</x:v>
      </x:c>
      <x:c r="D43" s="12" t="str">
        <x:v>reaction</x:v>
      </x:c>
      <x:c r="E43" s="12" t="str">
        <x:v>Counter for 2 damage after blocking. Costs 0 if it is this equipment’s first Counter of the battle.</x:v>
      </x:c>
      <x:c r="F43" s="12" t="str">
        <x:v>After this survivor blocks or prevents damage, Counter for 2 damage. If firstCounterUsed[scrapGuard] is false this battle, pay 0 and then set it true. If the quarry is Marked, draw 1 then discard 1.</x:v>
      </x:c>
      <x:c r="G43" s="12" t="str">
        <x:v>YES</x:v>
      </x:c>
      <x:c r="H43" s="12" t="str">
        <x:v>countsAsCounter True, firstCounterFree True, counterFreeScope perBattlePerEquipment</x:v>
      </x:c>
    </x:row>
    <x:row r="44" ht="26.399999618530273" hidden="0" customHeight="1">
      <x:c r="A44" s="12" t="str">
        <x:v>Scrap Blade</x:v>
      </x:c>
      <x:c r="B44" s="12" t="str">
        <x:v>Scrap Blade — Technique</x:v>
      </x:c>
      <x:c r="C44" s="12" t="str">
        <x:v>1</x:v>
      </x:c>
      <x:c r="D44" s="12" t="str">
        <x:v>skill</x:v>
      </x:c>
      <x:c r="E44" s="12" t="str">
        <x:v>Set a parry line; your next Counter with this equipment costs 0 if it is the first Counter this battle. Also gain 2 block.</x:v>
      </x:c>
      <x:c r="F44" s="12" t="str">
        <x:v>Set a parry line; your next Counter with this equipment costs 0 if it is the first Counter this battle. Gain 2 block. If a tell is Open, add +2 to the listed damage or block value.</x:v>
      </x:c>
      <x:c r="G44" s="12" t="str">
        <x:v>YES</x:v>
      </x:c>
      <x:c r="H44" s="12" t="str"/>
    </x:row>
    <x:row r="45" ht="26.399999618530273" hidden="0" customHeight="1">
      <x:c r="A45" s="12" t="str">
        <x:v>Scrap Blade</x:v>
      </x:c>
      <x:c r="B45" s="12" t="str">
        <x:v>Scrap Blade — Payoff</x:v>
      </x:c>
      <x:c r="C45" s="12" t="str">
        <x:v>2</x:v>
      </x:c>
      <x:c r="D45" s="12" t="str">
        <x:v>reaction</x:v>
      </x:c>
      <x:c r="E45" s="12" t="str">
        <x:v>Deal 7 damage and 3 break damage. If this breaks a weak point, resolve Exposed 1 and the openTell rider.</x:v>
      </x:c>
      <x:c r="F45" s="12" t="str">
        <x:v>Deal 7 damage and 3 break damage. If the weak point breaks, apply Exposed 1 and resolve: If a tell is Open, add +2 to the listed damage or block value.</x:v>
      </x:c>
      <x:c r="G45" s="12" t="str">
        <x:v>YES</x:v>
      </x:c>
      <x:c r="H45" s="12" t="str">
        <x:v>countsAsCounter True, firstCounterFree True</x:v>
      </x:c>
    </x:row>
    <x:row r="46" ht="39.599998474121094" hidden="0" customHeight="1">
      <x:c r="A46" s="12" t="str">
        <x:v>Shielded Quiver</x:v>
      </x:c>
      <x:c r="B46" s="12" t="str">
        <x:v>Shielded Quiver — Answering Bash</x:v>
      </x:c>
      <x:c r="C46" s="12" t="str">
        <x:v>1</x:v>
      </x:c>
      <x:c r="D46" s="12" t="str">
        <x:v>reaction</x:v>
      </x:c>
      <x:c r="E46" s="12" t="str">
        <x:v>Counter for 6 damage after blocking. Costs 0 if it is this equipment’s first Counter of the battle.</x:v>
      </x:c>
      <x:c r="F46" s="12" t="str">
        <x:v>After this survivor blocks or prevents damage, Counter for 6 damage. If firstCounterUsed[shieldedQuiver] is false this battle, pay 0 and then set it true. If this is your first card this turn, reduce its cost by 1, minimum 0.</x:v>
      </x:c>
      <x:c r="G46" s="12" t="str">
        <x:v>YES</x:v>
      </x:c>
      <x:c r="H46" s="12" t="str">
        <x:v>countsAsCounter True, firstCounterFree True, counterFreeScope perBattlePerEquipment</x:v>
      </x:c>
    </x:row>
    <x:row r="47" ht="26.399999618530273" hidden="0" customHeight="1">
      <x:c r="A47" s="12" t="str">
        <x:v>Blade &amp; Guard</x:v>
      </x:c>
      <x:c r="B47" s="12" t="str">
        <x:v>Blade &amp; Guard — Technique</x:v>
      </x:c>
      <x:c r="C47" s="12" t="str">
        <x:v>2</x:v>
      </x:c>
      <x:c r="D47" s="12" t="str">
        <x:v>skill</x:v>
      </x:c>
      <x:c r="E47" s="12" t="str">
        <x:v>Set a parry line; your next Counter with this equipment costs 0 if it is the first Counter this battle. Also gain 2 block.</x:v>
      </x:c>
      <x:c r="F47" s="12" t="str">
        <x:v>Set a parry line; your next Counter with this equipment costs 0 if it is the first Counter this battle. Gain 2 block. The quarry targets this survivor next unless another card redirects it.</x:v>
      </x:c>
      <x:c r="G47" s="12" t="str">
        <x:v>YES</x:v>
      </x:c>
      <x:c r="H47" s="12" t="str"/>
    </x:row>
    <x:row r="48" ht="26.399999618530273" hidden="0" customHeight="1">
      <x:c r="A48" s="12" t="str">
        <x:v>Blade &amp; Guard</x:v>
      </x:c>
      <x:c r="B48" s="12" t="str">
        <x:v>Blade &amp; Guard — Payoff</x:v>
      </x:c>
      <x:c r="C48" s="12" t="str">
        <x:v>2</x:v>
      </x:c>
      <x:c r="D48" s="12" t="str">
        <x:v>reaction</x:v>
      </x:c>
      <x:c r="E48" s="12" t="str">
        <x:v>Deal 7 damage and 2 break damage. If this breaks a weak point, resolve Bleed 1 and the bait rider.</x:v>
      </x:c>
      <x:c r="F48" s="12" t="str">
        <x:v>Deal 7 damage and 2 break damage. If the weak point breaks, apply Bleed 1 and resolve: The quarry targets this survivor next unless another card redirects it.</x:v>
      </x:c>
      <x:c r="G48" s="12" t="str">
        <x:v>YES</x:v>
      </x:c>
      <x:c r="H48" s="12" t="str">
        <x:v>countsAsCounter True, firstCounterFree True</x:v>
      </x:c>
    </x:row>
  </x:sheetData>
  <x:pageMargins left="0.7" right="0.7" top="0.75" bottom="0.75" header="0.3" footer="0.3"/>
  <x:tableParts count="1">
    <x:tablePart xmlns:r="http://schemas.openxmlformats.org/officeDocument/2006/relationships" r:id="R48e16c366bbf41db"/>
  </x:tableParts>
</x:worksheet>
</file>